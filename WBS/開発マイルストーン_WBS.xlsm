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usuke\source\repos\pm-org-dev-handbook\WBS\"/>
    </mc:Choice>
  </mc:AlternateContent>
  <xr:revisionPtr revIDLastSave="0" documentId="13_ncr:1_{05FD73D8-D3FA-4C67-A701-AC20D6A45433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WBS" sheetId="1" r:id="rId1"/>
    <sheet name="設定" sheetId="2" r:id="rId2"/>
    <sheet name="休日" sheetId="3" r:id="rId3"/>
    <sheet name="集計" sheetId="4" r:id="rId4"/>
  </sheets>
  <definedNames>
    <definedName name="_xlnm.Print_Titles" localSheetId="0">WBS!$1:$5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4" i="1" l="1"/>
  <c r="M14" i="1"/>
  <c r="H14" i="1"/>
  <c r="N14" i="1" s="1"/>
  <c r="B8" i="4"/>
  <c r="B6" i="4"/>
  <c r="B3" i="4"/>
  <c r="B7" i="2"/>
  <c r="Q106" i="1"/>
  <c r="M106" i="1"/>
  <c r="H106" i="1"/>
  <c r="N106" i="1" s="1"/>
  <c r="Q105" i="1"/>
  <c r="M105" i="1"/>
  <c r="H105" i="1"/>
  <c r="N105" i="1" s="1"/>
  <c r="Q104" i="1"/>
  <c r="M104" i="1"/>
  <c r="H104" i="1"/>
  <c r="N104" i="1" s="1"/>
  <c r="Q103" i="1"/>
  <c r="M103" i="1"/>
  <c r="H103" i="1"/>
  <c r="N103" i="1" s="1"/>
  <c r="Q102" i="1"/>
  <c r="M102" i="1"/>
  <c r="H102" i="1"/>
  <c r="N102" i="1" s="1"/>
  <c r="Q101" i="1"/>
  <c r="M101" i="1"/>
  <c r="H101" i="1"/>
  <c r="N101" i="1" s="1"/>
  <c r="Q100" i="1"/>
  <c r="M100" i="1"/>
  <c r="H100" i="1"/>
  <c r="N100" i="1" s="1"/>
  <c r="Q99" i="1"/>
  <c r="M99" i="1"/>
  <c r="H99" i="1"/>
  <c r="N99" i="1" s="1"/>
  <c r="Q98" i="1"/>
  <c r="M98" i="1"/>
  <c r="H98" i="1"/>
  <c r="N98" i="1" s="1"/>
  <c r="Q97" i="1"/>
  <c r="M97" i="1"/>
  <c r="H97" i="1"/>
  <c r="N97" i="1" s="1"/>
  <c r="Q96" i="1"/>
  <c r="M96" i="1"/>
  <c r="H96" i="1"/>
  <c r="N96" i="1" s="1"/>
  <c r="Q95" i="1"/>
  <c r="M95" i="1"/>
  <c r="H95" i="1"/>
  <c r="N95" i="1" s="1"/>
  <c r="Q94" i="1"/>
  <c r="M94" i="1"/>
  <c r="H94" i="1"/>
  <c r="N94" i="1" s="1"/>
  <c r="Q93" i="1"/>
  <c r="M93" i="1"/>
  <c r="H93" i="1"/>
  <c r="N93" i="1" s="1"/>
  <c r="Q92" i="1"/>
  <c r="M92" i="1"/>
  <c r="H92" i="1"/>
  <c r="N92" i="1" s="1"/>
  <c r="Q91" i="1"/>
  <c r="M91" i="1"/>
  <c r="H91" i="1"/>
  <c r="N91" i="1" s="1"/>
  <c r="Q90" i="1"/>
  <c r="M90" i="1"/>
  <c r="H90" i="1"/>
  <c r="N90" i="1" s="1"/>
  <c r="Q89" i="1"/>
  <c r="M89" i="1"/>
  <c r="H89" i="1"/>
  <c r="N89" i="1" s="1"/>
  <c r="Q88" i="1"/>
  <c r="M88" i="1"/>
  <c r="H88" i="1"/>
  <c r="N88" i="1" s="1"/>
  <c r="Q87" i="1"/>
  <c r="M87" i="1"/>
  <c r="H87" i="1"/>
  <c r="N87" i="1" s="1"/>
  <c r="Q86" i="1"/>
  <c r="M86" i="1"/>
  <c r="H86" i="1"/>
  <c r="N86" i="1" s="1"/>
  <c r="Q85" i="1"/>
  <c r="M85" i="1"/>
  <c r="H85" i="1"/>
  <c r="N85" i="1" s="1"/>
  <c r="Q84" i="1"/>
  <c r="M84" i="1"/>
  <c r="H84" i="1"/>
  <c r="N84" i="1" s="1"/>
  <c r="Q83" i="1"/>
  <c r="M83" i="1"/>
  <c r="H83" i="1"/>
  <c r="N83" i="1" s="1"/>
  <c r="Q82" i="1"/>
  <c r="M82" i="1"/>
  <c r="H82" i="1"/>
  <c r="N82" i="1" s="1"/>
  <c r="Q81" i="1"/>
  <c r="M81" i="1"/>
  <c r="H81" i="1"/>
  <c r="N81" i="1" s="1"/>
  <c r="Q80" i="1"/>
  <c r="M80" i="1"/>
  <c r="H80" i="1"/>
  <c r="N80" i="1" s="1"/>
  <c r="Q79" i="1"/>
  <c r="M79" i="1"/>
  <c r="H79" i="1"/>
  <c r="N79" i="1" s="1"/>
  <c r="Q78" i="1"/>
  <c r="M78" i="1"/>
  <c r="H78" i="1"/>
  <c r="N78" i="1" s="1"/>
  <c r="Q77" i="1"/>
  <c r="M77" i="1"/>
  <c r="H77" i="1"/>
  <c r="N77" i="1" s="1"/>
  <c r="Q76" i="1"/>
  <c r="M76" i="1"/>
  <c r="H76" i="1"/>
  <c r="N76" i="1" s="1"/>
  <c r="Q75" i="1"/>
  <c r="M75" i="1"/>
  <c r="H75" i="1"/>
  <c r="N75" i="1" s="1"/>
  <c r="Q74" i="1"/>
  <c r="M74" i="1"/>
  <c r="H74" i="1"/>
  <c r="N74" i="1" s="1"/>
  <c r="Q73" i="1"/>
  <c r="M73" i="1"/>
  <c r="H73" i="1"/>
  <c r="N73" i="1" s="1"/>
  <c r="Q72" i="1"/>
  <c r="M72" i="1"/>
  <c r="H72" i="1"/>
  <c r="N72" i="1" s="1"/>
  <c r="Q71" i="1"/>
  <c r="M71" i="1"/>
  <c r="H71" i="1"/>
  <c r="N71" i="1" s="1"/>
  <c r="Q70" i="1"/>
  <c r="M70" i="1"/>
  <c r="H70" i="1"/>
  <c r="N70" i="1" s="1"/>
  <c r="Q69" i="1"/>
  <c r="M69" i="1"/>
  <c r="H69" i="1"/>
  <c r="N69" i="1" s="1"/>
  <c r="Q68" i="1"/>
  <c r="M68" i="1"/>
  <c r="H68" i="1"/>
  <c r="N68" i="1" s="1"/>
  <c r="Q67" i="1"/>
  <c r="M67" i="1"/>
  <c r="H67" i="1"/>
  <c r="N67" i="1" s="1"/>
  <c r="Q66" i="1"/>
  <c r="M66" i="1"/>
  <c r="H66" i="1"/>
  <c r="N66" i="1" s="1"/>
  <c r="Q65" i="1"/>
  <c r="M65" i="1"/>
  <c r="H65" i="1"/>
  <c r="N65" i="1" s="1"/>
  <c r="Q64" i="1"/>
  <c r="M64" i="1"/>
  <c r="H64" i="1"/>
  <c r="N64" i="1" s="1"/>
  <c r="Q63" i="1"/>
  <c r="M63" i="1"/>
  <c r="H63" i="1"/>
  <c r="N63" i="1" s="1"/>
  <c r="Q62" i="1"/>
  <c r="M62" i="1"/>
  <c r="H62" i="1"/>
  <c r="N62" i="1" s="1"/>
  <c r="Q61" i="1"/>
  <c r="M61" i="1"/>
  <c r="H61" i="1"/>
  <c r="N61" i="1" s="1"/>
  <c r="Q60" i="1"/>
  <c r="M60" i="1"/>
  <c r="H60" i="1"/>
  <c r="N60" i="1" s="1"/>
  <c r="Q59" i="1"/>
  <c r="M59" i="1"/>
  <c r="H59" i="1"/>
  <c r="N59" i="1" s="1"/>
  <c r="Q58" i="1"/>
  <c r="M58" i="1"/>
  <c r="H58" i="1"/>
  <c r="N58" i="1" s="1"/>
  <c r="Q57" i="1"/>
  <c r="M57" i="1"/>
  <c r="H57" i="1"/>
  <c r="N57" i="1" s="1"/>
  <c r="Q56" i="1"/>
  <c r="M56" i="1"/>
  <c r="H56" i="1"/>
  <c r="N56" i="1" s="1"/>
  <c r="Q55" i="1"/>
  <c r="M55" i="1"/>
  <c r="H55" i="1"/>
  <c r="N55" i="1" s="1"/>
  <c r="Q54" i="1"/>
  <c r="M54" i="1"/>
  <c r="H54" i="1"/>
  <c r="N54" i="1" s="1"/>
  <c r="Q53" i="1"/>
  <c r="M53" i="1"/>
  <c r="H53" i="1"/>
  <c r="N53" i="1" s="1"/>
  <c r="Q52" i="1"/>
  <c r="M52" i="1"/>
  <c r="H52" i="1"/>
  <c r="N52" i="1" s="1"/>
  <c r="Q51" i="1"/>
  <c r="M51" i="1"/>
  <c r="H51" i="1"/>
  <c r="N51" i="1" s="1"/>
  <c r="Q50" i="1"/>
  <c r="M50" i="1"/>
  <c r="H50" i="1"/>
  <c r="N50" i="1" s="1"/>
  <c r="Q49" i="1"/>
  <c r="M49" i="1"/>
  <c r="H49" i="1"/>
  <c r="N49" i="1" s="1"/>
  <c r="Q48" i="1"/>
  <c r="M48" i="1"/>
  <c r="H48" i="1"/>
  <c r="N48" i="1" s="1"/>
  <c r="Q47" i="1"/>
  <c r="M47" i="1"/>
  <c r="H47" i="1"/>
  <c r="N47" i="1" s="1"/>
  <c r="Q46" i="1"/>
  <c r="M46" i="1"/>
  <c r="H46" i="1"/>
  <c r="N46" i="1" s="1"/>
  <c r="Q45" i="1"/>
  <c r="M45" i="1"/>
  <c r="H45" i="1"/>
  <c r="N45" i="1" s="1"/>
  <c r="Q44" i="1"/>
  <c r="M44" i="1"/>
  <c r="H44" i="1"/>
  <c r="N44" i="1" s="1"/>
  <c r="Q43" i="1"/>
  <c r="M43" i="1"/>
  <c r="H43" i="1"/>
  <c r="N43" i="1" s="1"/>
  <c r="Q42" i="1"/>
  <c r="M42" i="1"/>
  <c r="H42" i="1"/>
  <c r="N42" i="1" s="1"/>
  <c r="Q41" i="1"/>
  <c r="M41" i="1"/>
  <c r="H41" i="1"/>
  <c r="N41" i="1" s="1"/>
  <c r="Q40" i="1"/>
  <c r="M40" i="1"/>
  <c r="H40" i="1"/>
  <c r="N40" i="1" s="1"/>
  <c r="Q39" i="1"/>
  <c r="M39" i="1"/>
  <c r="H39" i="1"/>
  <c r="N39" i="1" s="1"/>
  <c r="Q38" i="1"/>
  <c r="M38" i="1"/>
  <c r="H38" i="1"/>
  <c r="N38" i="1" s="1"/>
  <c r="Q37" i="1"/>
  <c r="M37" i="1"/>
  <c r="H37" i="1"/>
  <c r="N37" i="1" s="1"/>
  <c r="Q36" i="1"/>
  <c r="M36" i="1"/>
  <c r="H36" i="1"/>
  <c r="N36" i="1" s="1"/>
  <c r="Q35" i="1"/>
  <c r="M35" i="1"/>
  <c r="H35" i="1"/>
  <c r="N35" i="1" s="1"/>
  <c r="Q34" i="1"/>
  <c r="M34" i="1"/>
  <c r="H34" i="1"/>
  <c r="N34" i="1" s="1"/>
  <c r="Q33" i="1"/>
  <c r="M33" i="1"/>
  <c r="H33" i="1"/>
  <c r="N33" i="1" s="1"/>
  <c r="Q32" i="1"/>
  <c r="M32" i="1"/>
  <c r="H32" i="1"/>
  <c r="N32" i="1" s="1"/>
  <c r="Q31" i="1"/>
  <c r="M31" i="1"/>
  <c r="H31" i="1"/>
  <c r="N31" i="1" s="1"/>
  <c r="Q30" i="1"/>
  <c r="M30" i="1"/>
  <c r="H30" i="1"/>
  <c r="N30" i="1" s="1"/>
  <c r="Q29" i="1"/>
  <c r="M29" i="1"/>
  <c r="H29" i="1"/>
  <c r="N29" i="1" s="1"/>
  <c r="Q28" i="1"/>
  <c r="M28" i="1"/>
  <c r="H28" i="1"/>
  <c r="N28" i="1" s="1"/>
  <c r="Q27" i="1"/>
  <c r="M27" i="1"/>
  <c r="H27" i="1"/>
  <c r="N27" i="1" s="1"/>
  <c r="Q26" i="1"/>
  <c r="M26" i="1"/>
  <c r="H26" i="1"/>
  <c r="N26" i="1" s="1"/>
  <c r="Q25" i="1"/>
  <c r="M25" i="1"/>
  <c r="H25" i="1"/>
  <c r="N25" i="1" s="1"/>
  <c r="Q24" i="1"/>
  <c r="M24" i="1"/>
  <c r="H24" i="1"/>
  <c r="N24" i="1" s="1"/>
  <c r="Q23" i="1"/>
  <c r="M23" i="1"/>
  <c r="H23" i="1"/>
  <c r="N23" i="1" s="1"/>
  <c r="Q22" i="1"/>
  <c r="M22" i="1"/>
  <c r="H22" i="1"/>
  <c r="N22" i="1" s="1"/>
  <c r="Q21" i="1"/>
  <c r="M21" i="1"/>
  <c r="H21" i="1"/>
  <c r="N21" i="1" s="1"/>
  <c r="Q20" i="1"/>
  <c r="M20" i="1"/>
  <c r="H20" i="1"/>
  <c r="N20" i="1" s="1"/>
  <c r="Q19" i="1"/>
  <c r="M19" i="1"/>
  <c r="H19" i="1"/>
  <c r="N19" i="1" s="1"/>
  <c r="Q18" i="1"/>
  <c r="M18" i="1"/>
  <c r="H18" i="1"/>
  <c r="N18" i="1" s="1"/>
  <c r="Q17" i="1"/>
  <c r="M17" i="1"/>
  <c r="H17" i="1"/>
  <c r="N17" i="1" s="1"/>
  <c r="Q16" i="1"/>
  <c r="M16" i="1"/>
  <c r="H16" i="1"/>
  <c r="N16" i="1" s="1"/>
  <c r="Q15" i="1"/>
  <c r="M15" i="1"/>
  <c r="H15" i="1"/>
  <c r="N15" i="1" s="1"/>
  <c r="Q13" i="1"/>
  <c r="M13" i="1"/>
  <c r="N13" i="1"/>
  <c r="Q12" i="1"/>
  <c r="M12" i="1"/>
  <c r="N12" i="1"/>
  <c r="Q11" i="1"/>
  <c r="M11" i="1"/>
  <c r="N11" i="1"/>
  <c r="Q10" i="1"/>
  <c r="M10" i="1"/>
  <c r="N10" i="1"/>
  <c r="Q9" i="1"/>
  <c r="M9" i="1"/>
  <c r="N9" i="1"/>
  <c r="Q8" i="1"/>
  <c r="M8" i="1"/>
  <c r="N8" i="1"/>
  <c r="Q7" i="1"/>
  <c r="M7" i="1"/>
  <c r="N7" i="1"/>
  <c r="Q6" i="1"/>
  <c r="M6" i="1"/>
  <c r="N6" i="1"/>
  <c r="B7" i="4" l="1"/>
  <c r="B5" i="4"/>
  <c r="B4" i="4"/>
</calcChain>
</file>

<file path=xl/sharedStrings.xml><?xml version="1.0" encoding="utf-8"?>
<sst xmlns="http://schemas.openxmlformats.org/spreadsheetml/2006/main" count="276" uniqueCount="259">
  <si>
    <t>開発マイルストーン WBS</t>
  </si>
  <si>
    <t>プロジェクト名</t>
  </si>
  <si>
    <t>開始月</t>
  </si>
  <si>
    <t>終了月</t>
  </si>
  <si>
    <t>週末設定</t>
  </si>
  <si>
    <t>今日の日付</t>
  </si>
  <si>
    <t>入力補助</t>
  </si>
  <si>
    <t>サンプル開発プロジェクト</t>
  </si>
  <si>
    <t>土日休み</t>
  </si>
  <si>
    <t>WBSで入力ダイアログを実行</t>
  </si>
  <si>
    <t>操作</t>
  </si>
  <si>
    <t>開始月・終了月を変更すると、ガントの日付範囲が連動します。</t>
  </si>
  <si>
    <t>VBAの AddWBSRow で入力行を追加できます。</t>
  </si>
  <si>
    <t>VBAの InputWBSRow で選択行へ入力ダイアログを表示できます。</t>
  </si>
  <si>
    <t>休日シートに日付を追加すると、予定終了日から除外されます。</t>
  </si>
  <si>
    <t>休日管理</t>
  </si>
  <si>
    <t>休日</t>
  </si>
  <si>
    <t>名称</t>
  </si>
  <si>
    <t>スポーツの日</t>
  </si>
  <si>
    <t>文化の日</t>
  </si>
  <si>
    <t>勤労感謝の日</t>
  </si>
  <si>
    <t>予定バー / 実績バー / カミナリ戦（基準日）を一画面で確認できます。入力セルは淡い黄色です。</t>
  </si>
  <si>
    <t>ID</t>
  </si>
  <si>
    <t>階層</t>
  </si>
  <si>
    <t>タスク名</t>
  </si>
  <si>
    <t>担当</t>
  </si>
  <si>
    <t>種別</t>
  </si>
  <si>
    <t>予定開始</t>
  </si>
  <si>
    <t>予定日数</t>
  </si>
  <si>
    <t>予定終了</t>
  </si>
  <si>
    <t>実績開始</t>
  </si>
  <si>
    <t>実績終了</t>
  </si>
  <si>
    <t>進捗率</t>
  </si>
  <si>
    <t>先行ID</t>
  </si>
  <si>
    <t>開始遅れ</t>
  </si>
  <si>
    <t>終了遅れ</t>
  </si>
  <si>
    <t>工数</t>
  </si>
  <si>
    <t>備考</t>
  </si>
  <si>
    <t>状態</t>
  </si>
  <si>
    <t>1</t>
  </si>
  <si>
    <t>要件定義</t>
  </si>
  <si>
    <t>PM</t>
  </si>
  <si>
    <t>フェーズ</t>
  </si>
  <si>
    <t>成果物を確認</t>
  </si>
  <si>
    <t>1.1</t>
  </si>
  <si>
    <t>キックオフ</t>
  </si>
  <si>
    <t>タスク</t>
  </si>
  <si>
    <t>1.2</t>
  </si>
  <si>
    <t>要件ヒアリング</t>
  </si>
  <si>
    <t>PL</t>
  </si>
  <si>
    <t>1.3</t>
  </si>
  <si>
    <t>要件定義書レビュー</t>
  </si>
  <si>
    <t>マイルストーン</t>
  </si>
  <si>
    <t>レビュー完了</t>
  </si>
  <si>
    <t>2</t>
  </si>
  <si>
    <t>設計・開発</t>
  </si>
  <si>
    <t>2.1</t>
  </si>
  <si>
    <t>基本設計</t>
  </si>
  <si>
    <t>設計</t>
  </si>
  <si>
    <t>2.2</t>
  </si>
  <si>
    <t>実装</t>
  </si>
  <si>
    <t>開発</t>
  </si>
  <si>
    <t>2.3</t>
  </si>
  <si>
    <t>リリース判定</t>
  </si>
  <si>
    <t>Go / No-Go</t>
  </si>
  <si>
    <t>プロジェクト集計</t>
  </si>
  <si>
    <t>総タスク数</t>
  </si>
  <si>
    <t>完了タスク数</t>
  </si>
  <si>
    <t>進行中タスク数</t>
  </si>
  <si>
    <t>平均進捗率</t>
  </si>
  <si>
    <t>遅延タスク数</t>
  </si>
  <si>
    <t>総工数</t>
  </si>
  <si>
    <t>凡例</t>
  </si>
  <si>
    <t>予定</t>
  </si>
  <si>
    <t>実績</t>
  </si>
  <si>
    <t>カミナリ戦（基準日）</t>
  </si>
  <si>
    <t>aaa</t>
  </si>
  <si>
    <t>10/1</t>
    <phoneticPr fontId="7"/>
  </si>
  <si>
    <t>10/2</t>
    <phoneticPr fontId="7"/>
  </si>
  <si>
    <t>10/3</t>
    <phoneticPr fontId="7"/>
  </si>
  <si>
    <t>10/4</t>
    <phoneticPr fontId="7"/>
  </si>
  <si>
    <t>10/5</t>
    <phoneticPr fontId="7"/>
  </si>
  <si>
    <t>10/6</t>
    <phoneticPr fontId="7"/>
  </si>
  <si>
    <t>10/7</t>
    <phoneticPr fontId="7"/>
  </si>
  <si>
    <t>10/8</t>
    <phoneticPr fontId="7"/>
  </si>
  <si>
    <t>10/9</t>
    <phoneticPr fontId="7"/>
  </si>
  <si>
    <t>10/10</t>
    <phoneticPr fontId="7"/>
  </si>
  <si>
    <t>10/11</t>
    <phoneticPr fontId="7"/>
  </si>
  <si>
    <t>10/12</t>
    <phoneticPr fontId="7"/>
  </si>
  <si>
    <t>10/13</t>
    <phoneticPr fontId="7"/>
  </si>
  <si>
    <t>10/14</t>
    <phoneticPr fontId="7"/>
  </si>
  <si>
    <t>10/15</t>
    <phoneticPr fontId="7"/>
  </si>
  <si>
    <t>10/16</t>
    <phoneticPr fontId="7"/>
  </si>
  <si>
    <t>10/17</t>
    <phoneticPr fontId="7"/>
  </si>
  <si>
    <t>10/18</t>
    <phoneticPr fontId="7"/>
  </si>
  <si>
    <t>10/19</t>
    <phoneticPr fontId="7"/>
  </si>
  <si>
    <t>10/20</t>
    <phoneticPr fontId="7"/>
  </si>
  <si>
    <t>10/21</t>
    <phoneticPr fontId="7"/>
  </si>
  <si>
    <t>10/22</t>
    <phoneticPr fontId="7"/>
  </si>
  <si>
    <t>10/23</t>
    <phoneticPr fontId="7"/>
  </si>
  <si>
    <t>10/24</t>
    <phoneticPr fontId="7"/>
  </si>
  <si>
    <t>10/25</t>
    <phoneticPr fontId="7"/>
  </si>
  <si>
    <t>10/26</t>
    <phoneticPr fontId="7"/>
  </si>
  <si>
    <t>10/27</t>
    <phoneticPr fontId="7"/>
  </si>
  <si>
    <t>10/28</t>
    <phoneticPr fontId="7"/>
  </si>
  <si>
    <t>10/29</t>
    <phoneticPr fontId="7"/>
  </si>
  <si>
    <t>10/30</t>
    <phoneticPr fontId="7"/>
  </si>
  <si>
    <t>10/31</t>
    <phoneticPr fontId="7"/>
  </si>
  <si>
    <t>11/1</t>
    <phoneticPr fontId="7"/>
  </si>
  <si>
    <t>11/2</t>
    <phoneticPr fontId="7"/>
  </si>
  <si>
    <t>11/3</t>
    <phoneticPr fontId="7"/>
  </si>
  <si>
    <t>11/4</t>
    <phoneticPr fontId="7"/>
  </si>
  <si>
    <t>11/5</t>
    <phoneticPr fontId="7"/>
  </si>
  <si>
    <t>11/6</t>
    <phoneticPr fontId="7"/>
  </si>
  <si>
    <t>11/7</t>
    <phoneticPr fontId="7"/>
  </si>
  <si>
    <t>11/8</t>
    <phoneticPr fontId="7"/>
  </si>
  <si>
    <t>11/9</t>
    <phoneticPr fontId="7"/>
  </si>
  <si>
    <t>11/10</t>
    <phoneticPr fontId="7"/>
  </si>
  <si>
    <t>11/11</t>
    <phoneticPr fontId="7"/>
  </si>
  <si>
    <t>11/12</t>
    <phoneticPr fontId="7"/>
  </si>
  <si>
    <t>11/13</t>
    <phoneticPr fontId="7"/>
  </si>
  <si>
    <t>11/14</t>
    <phoneticPr fontId="7"/>
  </si>
  <si>
    <t>11/15</t>
    <phoneticPr fontId="7"/>
  </si>
  <si>
    <t>11/16</t>
    <phoneticPr fontId="7"/>
  </si>
  <si>
    <t>11/17</t>
    <phoneticPr fontId="7"/>
  </si>
  <si>
    <t>11/18</t>
    <phoneticPr fontId="7"/>
  </si>
  <si>
    <t>11/19</t>
    <phoneticPr fontId="7"/>
  </si>
  <si>
    <t>11/20</t>
    <phoneticPr fontId="7"/>
  </si>
  <si>
    <t>11/21</t>
    <phoneticPr fontId="7"/>
  </si>
  <si>
    <t>11/22</t>
    <phoneticPr fontId="7"/>
  </si>
  <si>
    <t>11/23</t>
    <phoneticPr fontId="7"/>
  </si>
  <si>
    <t>11/24</t>
    <phoneticPr fontId="7"/>
  </si>
  <si>
    <t>11/25</t>
    <phoneticPr fontId="7"/>
  </si>
  <si>
    <t>11/26</t>
    <phoneticPr fontId="7"/>
  </si>
  <si>
    <t>11/27</t>
    <phoneticPr fontId="7"/>
  </si>
  <si>
    <t>11/28</t>
    <phoneticPr fontId="7"/>
  </si>
  <si>
    <t>11/29</t>
    <phoneticPr fontId="7"/>
  </si>
  <si>
    <t>11/30</t>
    <phoneticPr fontId="7"/>
  </si>
  <si>
    <t>12/1</t>
    <phoneticPr fontId="7"/>
  </si>
  <si>
    <t>12/2</t>
    <phoneticPr fontId="7"/>
  </si>
  <si>
    <t>12/3</t>
    <phoneticPr fontId="7"/>
  </si>
  <si>
    <t>12/4</t>
    <phoneticPr fontId="7"/>
  </si>
  <si>
    <t>12/5</t>
    <phoneticPr fontId="7"/>
  </si>
  <si>
    <t>12/6</t>
    <phoneticPr fontId="7"/>
  </si>
  <si>
    <t>12/7</t>
    <phoneticPr fontId="7"/>
  </si>
  <si>
    <t>12/8</t>
    <phoneticPr fontId="7"/>
  </si>
  <si>
    <t>12/9</t>
    <phoneticPr fontId="7"/>
  </si>
  <si>
    <t>12/10</t>
    <phoneticPr fontId="7"/>
  </si>
  <si>
    <t>12/11</t>
    <phoneticPr fontId="7"/>
  </si>
  <si>
    <t>12/12</t>
    <phoneticPr fontId="7"/>
  </si>
  <si>
    <t>12/13</t>
    <phoneticPr fontId="7"/>
  </si>
  <si>
    <t>12/14</t>
    <phoneticPr fontId="7"/>
  </si>
  <si>
    <t>12/15</t>
    <phoneticPr fontId="7"/>
  </si>
  <si>
    <t>12/16</t>
    <phoneticPr fontId="7"/>
  </si>
  <si>
    <t>12/17</t>
    <phoneticPr fontId="7"/>
  </si>
  <si>
    <t>12/18</t>
    <phoneticPr fontId="7"/>
  </si>
  <si>
    <t>12/19</t>
    <phoneticPr fontId="7"/>
  </si>
  <si>
    <t>12/20</t>
    <phoneticPr fontId="7"/>
  </si>
  <si>
    <t>12/21</t>
    <phoneticPr fontId="7"/>
  </si>
  <si>
    <t>12/22</t>
    <phoneticPr fontId="7"/>
  </si>
  <si>
    <t>12/23</t>
    <phoneticPr fontId="7"/>
  </si>
  <si>
    <t>12/24</t>
    <phoneticPr fontId="7"/>
  </si>
  <si>
    <t>12/25</t>
    <phoneticPr fontId="7"/>
  </si>
  <si>
    <t>12/26</t>
    <phoneticPr fontId="7"/>
  </si>
  <si>
    <t>12/27</t>
    <phoneticPr fontId="7"/>
  </si>
  <si>
    <t>12/28</t>
    <phoneticPr fontId="7"/>
  </si>
  <si>
    <t>12/29</t>
    <phoneticPr fontId="7"/>
  </si>
  <si>
    <t>12/30</t>
    <phoneticPr fontId="7"/>
  </si>
  <si>
    <t>12/31</t>
    <phoneticPr fontId="7"/>
  </si>
  <si>
    <t>1/1</t>
    <phoneticPr fontId="7"/>
  </si>
  <si>
    <t>1/2</t>
    <phoneticPr fontId="7"/>
  </si>
  <si>
    <t>1/3</t>
    <phoneticPr fontId="7"/>
  </si>
  <si>
    <t>1/4</t>
    <phoneticPr fontId="7"/>
  </si>
  <si>
    <t>1/5</t>
    <phoneticPr fontId="7"/>
  </si>
  <si>
    <t>1/6</t>
    <phoneticPr fontId="7"/>
  </si>
  <si>
    <t>1/7</t>
    <phoneticPr fontId="7"/>
  </si>
  <si>
    <t>1/8</t>
    <phoneticPr fontId="7"/>
  </si>
  <si>
    <t>1/9</t>
    <phoneticPr fontId="7"/>
  </si>
  <si>
    <t>1/10</t>
    <phoneticPr fontId="7"/>
  </si>
  <si>
    <t>1/11</t>
    <phoneticPr fontId="7"/>
  </si>
  <si>
    <t>1/12</t>
    <phoneticPr fontId="7"/>
  </si>
  <si>
    <t>1/13</t>
    <phoneticPr fontId="7"/>
  </si>
  <si>
    <t>1/14</t>
    <phoneticPr fontId="7"/>
  </si>
  <si>
    <t>1/15</t>
    <phoneticPr fontId="7"/>
  </si>
  <si>
    <t>1/16</t>
    <phoneticPr fontId="7"/>
  </si>
  <si>
    <t>1/17</t>
    <phoneticPr fontId="7"/>
  </si>
  <si>
    <t>1/18</t>
    <phoneticPr fontId="7"/>
  </si>
  <si>
    <t>1/19</t>
    <phoneticPr fontId="7"/>
  </si>
  <si>
    <t>1/20</t>
    <phoneticPr fontId="7"/>
  </si>
  <si>
    <t>1/21</t>
    <phoneticPr fontId="7"/>
  </si>
  <si>
    <t>1/22</t>
    <phoneticPr fontId="7"/>
  </si>
  <si>
    <t>1/23</t>
    <phoneticPr fontId="7"/>
  </si>
  <si>
    <t>1/24</t>
    <phoneticPr fontId="7"/>
  </si>
  <si>
    <t>1/25</t>
    <phoneticPr fontId="7"/>
  </si>
  <si>
    <t>1/26</t>
    <phoneticPr fontId="7"/>
  </si>
  <si>
    <t>1/27</t>
    <phoneticPr fontId="7"/>
  </si>
  <si>
    <t>1/28</t>
    <phoneticPr fontId="7"/>
  </si>
  <si>
    <t>1/29</t>
    <phoneticPr fontId="7"/>
  </si>
  <si>
    <t>1/30</t>
    <phoneticPr fontId="7"/>
  </si>
  <si>
    <t>1/31</t>
    <phoneticPr fontId="7"/>
  </si>
  <si>
    <t>2/1</t>
    <phoneticPr fontId="7"/>
  </si>
  <si>
    <t>2/2</t>
    <phoneticPr fontId="7"/>
  </si>
  <si>
    <t>2/3</t>
    <phoneticPr fontId="7"/>
  </si>
  <si>
    <t>2/4</t>
    <phoneticPr fontId="7"/>
  </si>
  <si>
    <t>2/5</t>
    <phoneticPr fontId="7"/>
  </si>
  <si>
    <t>2/6</t>
    <phoneticPr fontId="7"/>
  </si>
  <si>
    <t>2/7</t>
    <phoneticPr fontId="7"/>
  </si>
  <si>
    <t>2/8</t>
    <phoneticPr fontId="7"/>
  </si>
  <si>
    <t>2/9</t>
    <phoneticPr fontId="7"/>
  </si>
  <si>
    <t>2/10</t>
    <phoneticPr fontId="7"/>
  </si>
  <si>
    <t>2/11</t>
    <phoneticPr fontId="7"/>
  </si>
  <si>
    <t>2/12</t>
    <phoneticPr fontId="7"/>
  </si>
  <si>
    <t>2/13</t>
    <phoneticPr fontId="7"/>
  </si>
  <si>
    <t>2/14</t>
    <phoneticPr fontId="7"/>
  </si>
  <si>
    <t>2/15</t>
    <phoneticPr fontId="7"/>
  </si>
  <si>
    <t>2/16</t>
    <phoneticPr fontId="7"/>
  </si>
  <si>
    <t>2/17</t>
    <phoneticPr fontId="7"/>
  </si>
  <si>
    <t>2/18</t>
    <phoneticPr fontId="7"/>
  </si>
  <si>
    <t>2/19</t>
    <phoneticPr fontId="7"/>
  </si>
  <si>
    <t>2/20</t>
    <phoneticPr fontId="7"/>
  </si>
  <si>
    <t>2/21</t>
    <phoneticPr fontId="7"/>
  </si>
  <si>
    <t>2/22</t>
    <phoneticPr fontId="7"/>
  </si>
  <si>
    <t>2/23</t>
    <phoneticPr fontId="7"/>
  </si>
  <si>
    <t>2/24</t>
    <phoneticPr fontId="7"/>
  </si>
  <si>
    <t>2/25</t>
    <phoneticPr fontId="7"/>
  </si>
  <si>
    <t>2/26</t>
    <phoneticPr fontId="7"/>
  </si>
  <si>
    <t>2/27</t>
    <phoneticPr fontId="7"/>
  </si>
  <si>
    <t>2/28</t>
    <phoneticPr fontId="7"/>
  </si>
  <si>
    <t>3/1</t>
    <phoneticPr fontId="7"/>
  </si>
  <si>
    <t>3/2</t>
    <phoneticPr fontId="7"/>
  </si>
  <si>
    <t>3/3</t>
    <phoneticPr fontId="7"/>
  </si>
  <si>
    <t>3/4</t>
    <phoneticPr fontId="7"/>
  </si>
  <si>
    <t>3/5</t>
    <phoneticPr fontId="7"/>
  </si>
  <si>
    <t>3/6</t>
    <phoneticPr fontId="7"/>
  </si>
  <si>
    <t>3/7</t>
    <phoneticPr fontId="7"/>
  </si>
  <si>
    <t>3/8</t>
    <phoneticPr fontId="7"/>
  </si>
  <si>
    <t>3/9</t>
    <phoneticPr fontId="7"/>
  </si>
  <si>
    <t>3/10</t>
    <phoneticPr fontId="7"/>
  </si>
  <si>
    <t>3/11</t>
    <phoneticPr fontId="7"/>
  </si>
  <si>
    <t>3/12</t>
    <phoneticPr fontId="7"/>
  </si>
  <si>
    <t>3/13</t>
    <phoneticPr fontId="7"/>
  </si>
  <si>
    <t>3/14</t>
    <phoneticPr fontId="7"/>
  </si>
  <si>
    <t>3/15</t>
    <phoneticPr fontId="7"/>
  </si>
  <si>
    <t>3/16</t>
    <phoneticPr fontId="7"/>
  </si>
  <si>
    <t>3/17</t>
    <phoneticPr fontId="7"/>
  </si>
  <si>
    <t>3/18</t>
    <phoneticPr fontId="7"/>
  </si>
  <si>
    <t>3/19</t>
    <phoneticPr fontId="7"/>
  </si>
  <si>
    <t>3/20</t>
    <phoneticPr fontId="7"/>
  </si>
  <si>
    <t>3/21</t>
    <phoneticPr fontId="7"/>
  </si>
  <si>
    <t>3/22</t>
    <phoneticPr fontId="7"/>
  </si>
  <si>
    <t>3/23</t>
    <phoneticPr fontId="7"/>
  </si>
  <si>
    <t>3/24</t>
    <phoneticPr fontId="7"/>
  </si>
  <si>
    <t>3/25</t>
    <phoneticPr fontId="7"/>
  </si>
  <si>
    <t>3/26</t>
    <phoneticPr fontId="7"/>
  </si>
  <si>
    <t>3/27</t>
    <phoneticPr fontId="7"/>
  </si>
  <si>
    <t>3/28</t>
    <phoneticPr fontId="7"/>
  </si>
  <si>
    <t>3/29</t>
    <phoneticPr fontId="7"/>
  </si>
  <si>
    <t>3/30</t>
    <phoneticPr fontId="7"/>
  </si>
  <si>
    <t>3/31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</si>
</sst>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月&quot;"/>
    <numFmt numFmtId="177" formatCode="m/d"/>
    <numFmt numFmtId="178" formatCode="0.0"/>
    <numFmt numFmtId="179" formatCode="yyyy/m"/>
  </numFmts>
  <fonts count="8" x14ac:knownFonts="1">
    <font>
      <sz val="11"/>
      <color theme="1"/>
      <name val="ＭＳ Ｐゴシック"/>
      <family val="2"/>
      <scheme val="minor"/>
    </font>
    <font>
      <b/>
      <sz val="20"/>
      <color rgb="FFFFFFFF"/>
      <name val="ＭＳ Ｐゴシック"/>
      <family val="2"/>
      <scheme val="minor"/>
    </font>
    <font>
      <i/>
      <sz val="11"/>
      <color rgb="FF64748B"/>
      <name val="ＭＳ Ｐゴシック"/>
      <family val="2"/>
      <scheme val="minor"/>
    </font>
    <font>
      <b/>
      <sz val="11"/>
      <color rgb="FFFFFFFF"/>
      <name val="ＭＳ Ｐゴシック"/>
      <family val="2"/>
      <scheme val="minor"/>
    </font>
    <font>
      <b/>
      <sz val="11"/>
      <color rgb="FF17324D"/>
      <name val="ＭＳ Ｐゴシック"/>
      <family val="2"/>
      <scheme val="minor"/>
    </font>
    <font>
      <b/>
      <sz val="18"/>
      <color rgb="FF17324D"/>
      <name val="ＭＳ Ｐゴシック"/>
      <family val="2"/>
      <scheme val="minor"/>
    </font>
    <font>
      <b/>
      <sz val="14"/>
      <color rgb="FF2B6CB0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7324D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2B6CB0"/>
        <bgColor indexed="64"/>
      </patternFill>
    </fill>
    <fill>
      <patternFill patternType="solid">
        <fgColor rgb="FFDCEBFA"/>
        <bgColor indexed="64"/>
      </patternFill>
    </fill>
    <fill>
      <patternFill patternType="solid">
        <fgColor rgb="FF79C2B8"/>
        <bgColor indexed="64"/>
      </patternFill>
    </fill>
    <fill>
      <patternFill patternType="solid">
        <fgColor rgb="FFFCA5A5"/>
        <bgColor indexed="64"/>
      </patternFill>
    </fill>
  </fills>
  <borders count="3">
    <border>
      <left/>
      <right/>
      <top/>
      <bottom/>
      <diagonal/>
    </border>
    <border>
      <left style="thin">
        <color rgb="FFD7DEE8"/>
      </left>
      <right style="thin">
        <color rgb="FFD7DEE8"/>
      </right>
      <top style="thin">
        <color rgb="FFD7DEE8"/>
      </top>
      <bottom style="thin">
        <color rgb="FFD7DEE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176" fontId="3" fillId="2" borderId="1" xfId="0" applyNumberFormat="1" applyFont="1" applyFill="1" applyBorder="1" applyAlignment="1">
      <alignment horizontal="center"/>
    </xf>
    <xf numFmtId="177" fontId="3" fillId="2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14" fontId="0" fillId="3" borderId="1" xfId="0" applyNumberFormat="1" applyFill="1" applyBorder="1" applyAlignment="1">
      <alignment vertical="center"/>
    </xf>
    <xf numFmtId="178" fontId="0" fillId="3" borderId="1" xfId="0" applyNumberFormat="1" applyFill="1" applyBorder="1" applyAlignment="1">
      <alignment vertical="center"/>
    </xf>
    <xf numFmtId="14" fontId="0" fillId="0" borderId="1" xfId="0" applyNumberFormat="1" applyBorder="1" applyAlignment="1">
      <alignment vertical="center"/>
    </xf>
    <xf numFmtId="9" fontId="0" fillId="3" borderId="1" xfId="0" applyNumberForma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4" borderId="1" xfId="0" applyFill="1" applyBorder="1"/>
    <xf numFmtId="0" fontId="5" fillId="0" borderId="0" xfId="0" applyFont="1"/>
    <xf numFmtId="14" fontId="0" fillId="0" borderId="0" xfId="0" applyNumberFormat="1"/>
    <xf numFmtId="179" fontId="0" fillId="0" borderId="0" xfId="0" applyNumberFormat="1"/>
    <xf numFmtId="0" fontId="3" fillId="5" borderId="2" xfId="0" applyFont="1" applyFill="1" applyBorder="1" applyAlignment="1">
      <alignment horizontal="center"/>
    </xf>
    <xf numFmtId="14" fontId="0" fillId="0" borderId="2" xfId="0" applyNumberFormat="1" applyBorder="1"/>
    <xf numFmtId="0" fontId="6" fillId="0" borderId="1" xfId="0" applyFont="1" applyBorder="1"/>
    <xf numFmtId="9" fontId="6" fillId="0" borderId="1" xfId="0" applyNumberFormat="1" applyFont="1" applyBorder="1"/>
    <xf numFmtId="0" fontId="0" fillId="6" borderId="0" xfId="0" applyFill="1"/>
    <xf numFmtId="0" fontId="0" fillId="7" borderId="0" xfId="0" applyFill="1"/>
    <xf numFmtId="0" fontId="0" fillId="8" borderId="0" xfId="0" applyFill="1"/>
    <xf numFmtId="0" fontId="1" fillId="2" borderId="0" xfId="0" applyFont="1" applyFill="1" applyAlignment="1">
      <alignment horizontal="left" vertical="center"/>
    </xf>
    <xf numFmtId="0" fontId="2" fillId="0" borderId="0" xfId="0" applyFont="1"/>
  </cellXfs>
  <cellStyles count="1">
    <cellStyle name="標準" xfId="0" builtinId="0"/>
  </cellStyles>
  <dxfs count="3">
    <dxf>
      <fill>
        <patternFill>
          <bgColor rgb="FFFCA5A5"/>
        </patternFill>
      </fill>
    </dxf>
    <dxf>
      <fill>
        <patternFill>
          <bgColor rgb="FF79C2B8"/>
        </patternFill>
      </fill>
    </dxf>
    <dxf>
      <fill>
        <patternFill>
          <bgColor rgb="FFDCEBFA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WBSTasks" displayName="WBSTasks" ref="A5:GQ106" totalsRowShown="0">
  <autoFilter ref="A5:GQ106" xr:uid="{00000000-0009-0000-0100-000001000000}"/>
  <tableColumns count="199">
    <tableColumn id="1" xr3:uid="{00000000-0010-0000-0000-000001000000}" name="ID"/>
    <tableColumn id="2" xr3:uid="{00000000-0010-0000-0000-000002000000}" name="階層"/>
    <tableColumn id="3" xr3:uid="{00000000-0010-0000-0000-000003000000}" name="タスク名"/>
    <tableColumn id="4" xr3:uid="{00000000-0010-0000-0000-000004000000}" name="担当"/>
    <tableColumn id="5" xr3:uid="{00000000-0010-0000-0000-000005000000}" name="種別"/>
    <tableColumn id="6" xr3:uid="{00000000-0010-0000-0000-000006000000}" name="予定開始"/>
    <tableColumn id="7" xr3:uid="{00000000-0010-0000-0000-000007000000}" name="予定日数"/>
    <tableColumn id="8" xr3:uid="{00000000-0010-0000-0000-000008000000}" name="予定終了"/>
    <tableColumn id="9" xr3:uid="{00000000-0010-0000-0000-000009000000}" name="実績開始"/>
    <tableColumn id="10" xr3:uid="{00000000-0010-0000-0000-00000A000000}" name="実績終了"/>
    <tableColumn id="11" xr3:uid="{00000000-0010-0000-0000-00000B000000}" name="進捗率"/>
    <tableColumn id="12" xr3:uid="{00000000-0010-0000-0000-00000C000000}" name="先行ID"/>
    <tableColumn id="13" xr3:uid="{00000000-0010-0000-0000-00000D000000}" name="開始遅れ"/>
    <tableColumn id="14" xr3:uid="{00000000-0010-0000-0000-00000E000000}" name="終了遅れ"/>
    <tableColumn id="15" xr3:uid="{00000000-0010-0000-0000-00000F000000}" name="工数"/>
    <tableColumn id="16" xr3:uid="{00000000-0010-0000-0000-000010000000}" name="備考"/>
    <tableColumn id="17" xr3:uid="{00000000-0010-0000-0000-000011000000}" name="状態"/>
    <tableColumn id="18" xr3:uid="{ABCD6793-B7EC-4893-BAF6-32B5FC8813BC}" name="10/1"/>
    <tableColumn id="19" xr3:uid="{09276846-2FD3-4424-9B35-063EA0E48D85}" name="10/2"/>
    <tableColumn id="20" xr3:uid="{937B2DEB-FA16-40B0-BDBE-E14928A89CDC}" name="10/3"/>
    <tableColumn id="21" xr3:uid="{936E43FF-159F-43C7-AD3B-73B99ACA4066}" name="10/4"/>
    <tableColumn id="22" xr3:uid="{D6D81AF9-481B-4111-994B-161AFB15B09C}" name="10/5"/>
    <tableColumn id="23" xr3:uid="{0D99043F-7238-45D1-BDC4-5D3B6DA114B1}" name="10/6"/>
    <tableColumn id="24" xr3:uid="{44FFEBB8-50AE-4879-8EEB-0A0D47667664}" name="10/7"/>
    <tableColumn id="25" xr3:uid="{97E46E2C-C646-4583-A3F9-50D3FFDFD829}" name="10/8"/>
    <tableColumn id="26" xr3:uid="{29B1937F-D485-4FFA-878F-20ADA6B6F671}" name="10/9"/>
    <tableColumn id="27" xr3:uid="{6118D50F-997D-4A3E-9A47-B3649AA32C7E}" name="10/10"/>
    <tableColumn id="28" xr3:uid="{AF00853B-245D-47FB-A9CA-68FE911A2D72}" name="10/11"/>
    <tableColumn id="29" xr3:uid="{B11B72E8-ED6B-4A81-8C21-4C3BAC034DE9}" name="10/12"/>
    <tableColumn id="30" xr3:uid="{878A93C2-05A8-49F0-B17B-17A88D6B41B1}" name="10/13"/>
    <tableColumn id="31" xr3:uid="{65C7642B-3A24-498F-AC9A-F80B9FEFEF1A}" name="10/14"/>
    <tableColumn id="32" xr3:uid="{4C869BF3-7CBE-478B-B34C-2C576F0AE8D1}" name="10/15"/>
    <tableColumn id="33" xr3:uid="{15748582-C2F4-4B48-9223-C49304EDD6A0}" name="10/16"/>
    <tableColumn id="34" xr3:uid="{61A692F8-ADD9-4414-AA60-234999B1CB0E}" name="10/17"/>
    <tableColumn id="35" xr3:uid="{2187F956-D87B-4407-842B-9F20E98EB71A}" name="10/18"/>
    <tableColumn id="36" xr3:uid="{1CE1470F-763B-4DFF-8562-5700A6BD2FD6}" name="10/19"/>
    <tableColumn id="37" xr3:uid="{AD206B7A-A86D-4BA9-9EC7-DBFB3B7A9A97}" name="10/20"/>
    <tableColumn id="38" xr3:uid="{F16308B4-A2D9-4BB8-A71F-A82A34DB2AE3}" name="10/21"/>
    <tableColumn id="39" xr3:uid="{083CCDAA-07A7-4ECE-9DAB-09C75841F171}" name="10/22"/>
    <tableColumn id="40" xr3:uid="{DA44F8E8-6407-4BE4-A201-883218F98CE0}" name="10/23"/>
    <tableColumn id="41" xr3:uid="{AE6EDA0B-6E04-4807-BA1C-56DAC2172FAF}" name="10/24"/>
    <tableColumn id="42" xr3:uid="{3763672F-DD7A-4D8C-BB74-F8426003F419}" name="10/25"/>
    <tableColumn id="43" xr3:uid="{E4B491E9-0C86-4D6B-B253-459319243AC3}" name="10/26"/>
    <tableColumn id="44" xr3:uid="{F75F7258-AFAC-4AA5-9652-8D154B485F07}" name="10/27"/>
    <tableColumn id="45" xr3:uid="{5C6C875A-9300-4296-9DCE-DD6EF23049DC}" name="10/28"/>
    <tableColumn id="46" xr3:uid="{8E5C923F-9EA3-43EC-9CB5-0BDCDBFA31D4}" name="10/29"/>
    <tableColumn id="47" xr3:uid="{1D154980-CE58-4853-8EE7-7829533B8639}" name="10/30"/>
    <tableColumn id="48" xr3:uid="{206B9568-126E-411B-9C6C-8B677E3F5C82}" name="10/31"/>
    <tableColumn id="49" xr3:uid="{979B7CEB-D70B-4E29-A1BE-C53286389FAF}" name="11/1"/>
    <tableColumn id="50" xr3:uid="{FC163AA6-DF1B-4594-9060-BDB1DA28920C}" name="11/2"/>
    <tableColumn id="51" xr3:uid="{6305FC34-EEB4-425E-BB78-164AFFE64EEB}" name="11/3"/>
    <tableColumn id="52" xr3:uid="{59905F2F-AE2B-411E-8623-9E2A1B45F975}" name="11/4"/>
    <tableColumn id="53" xr3:uid="{C5B75217-F39D-4640-B283-27AEFBFEDA2A}" name="11/5"/>
    <tableColumn id="54" xr3:uid="{48A4ED7F-7AC8-46FD-9636-A7F03AC6E0C9}" name="11/6"/>
    <tableColumn id="55" xr3:uid="{460B8FB3-675C-43B7-858A-E2796ECD4758}" name="11/7"/>
    <tableColumn id="56" xr3:uid="{B109175B-AA78-414D-9C3F-55B991E7628A}" name="11/8"/>
    <tableColumn id="57" xr3:uid="{9BC75323-6756-4B31-A072-70EA5D4BD6F3}" name="11/9"/>
    <tableColumn id="58" xr3:uid="{6A87BCAF-8832-41E1-B66B-9575EFB16632}" name="11/10"/>
    <tableColumn id="59" xr3:uid="{6C76DC98-C10D-483D-AD39-CFE5998AA61E}" name="11/11"/>
    <tableColumn id="60" xr3:uid="{4AEBC1C3-056D-48BA-843F-2D902E8B6C5F}" name="11/12"/>
    <tableColumn id="61" xr3:uid="{445FCEC9-0BAA-4323-9599-B0E74919F930}" name="11/13"/>
    <tableColumn id="62" xr3:uid="{AED1F497-B536-49B4-9A07-4F8EC2E8A0B1}" name="11/14"/>
    <tableColumn id="63" xr3:uid="{04CBC13A-EC73-449C-89C1-C574F615A8F2}" name="11/15"/>
    <tableColumn id="64" xr3:uid="{C19455A2-4302-44F3-88B9-935E1826144B}" name="11/16"/>
    <tableColumn id="65" xr3:uid="{EDF16F33-8883-4D17-B5FE-E233FFC1D1F3}" name="11/17"/>
    <tableColumn id="66" xr3:uid="{14E3C02F-2D8F-49B2-A68A-7EA0B695CC36}" name="11/18"/>
    <tableColumn id="67" xr3:uid="{C49E939F-C6B6-4BA3-A02E-4035B7576DCE}" name="11/19"/>
    <tableColumn id="68" xr3:uid="{08310B4F-060B-42CC-93D9-D4E1DCFB595A}" name="11/20"/>
    <tableColumn id="69" xr3:uid="{F4AE5A36-A36B-4B34-AAF0-C6ED5D1B7D81}" name="11/21"/>
    <tableColumn id="70" xr3:uid="{55AFF3AB-4FB7-4649-BE50-538FA4EFA566}" name="11/22"/>
    <tableColumn id="71" xr3:uid="{138AB740-F81C-4A32-AB4C-5F8FF17D1614}" name="11/23"/>
    <tableColumn id="72" xr3:uid="{0A9B2FCA-09FC-444D-B3ED-6B4F63B823D3}" name="11/24"/>
    <tableColumn id="73" xr3:uid="{7E40BF3F-1351-42D1-B175-816F9B3C65CB}" name="11/25"/>
    <tableColumn id="74" xr3:uid="{3B7CC973-90AE-41E2-9654-B019F6ADBCC4}" name="11/26"/>
    <tableColumn id="75" xr3:uid="{34F3D3FE-70C5-4360-A862-640BFB9A2422}" name="11/27"/>
    <tableColumn id="76" xr3:uid="{09896116-0F41-4E15-AED7-61487C4EA949}" name="11/28"/>
    <tableColumn id="77" xr3:uid="{127EDB6B-0554-4C7A-8BC6-095B6AD62DF3}" name="11/29"/>
    <tableColumn id="78" xr3:uid="{D25E1484-3C3C-486D-B0B8-68E18E67CB89}" name="11/30"/>
    <tableColumn id="79" xr3:uid="{6BEA6B95-92E1-4153-AF04-8E192BC14007}" name="12/1"/>
    <tableColumn id="80" xr3:uid="{1AB82F6F-865D-48AC-B8C8-C53F5296403C}" name="12/2"/>
    <tableColumn id="81" xr3:uid="{1FDD43C0-AB6F-47BE-B511-E585354EDBED}" name="12/3"/>
    <tableColumn id="82" xr3:uid="{F2E538CE-D8A4-4094-9C34-0A9391B53008}" name="12/4"/>
    <tableColumn id="83" xr3:uid="{F8C00F44-1A5B-4C5E-BF30-3C4463498629}" name="12/5"/>
    <tableColumn id="84" xr3:uid="{39274F40-012E-4D0C-86FF-5DA2D81557A8}" name="12/6"/>
    <tableColumn id="85" xr3:uid="{19DF1737-98F9-44B2-B5A9-4CC111461524}" name="12/7"/>
    <tableColumn id="86" xr3:uid="{B66A09BC-4001-43C4-BA1E-1AED01DECFE7}" name="12/8"/>
    <tableColumn id="87" xr3:uid="{470584E1-A33F-49F0-A393-18A9A09EE638}" name="12/9"/>
    <tableColumn id="88" xr3:uid="{BFC12C36-B5FF-4D77-A0AB-8A3EEC60D73E}" name="12/10"/>
    <tableColumn id="89" xr3:uid="{134774F4-64F5-4839-AE4C-6B9BC5CBAEDE}" name="12/11"/>
    <tableColumn id="90" xr3:uid="{53881786-7674-44C2-91C3-D856D0C9CF3B}" name="12/12"/>
    <tableColumn id="91" xr3:uid="{3D2542EC-1F03-49DE-B7B8-2C4A08E2B44D}" name="12/13"/>
    <tableColumn id="92" xr3:uid="{36085B70-3B14-40E6-908A-26860096E76E}" name="12/14"/>
    <tableColumn id="93" xr3:uid="{D2B30B3B-67CE-49B3-91C3-3CB15A54C582}" name="12/15"/>
    <tableColumn id="94" xr3:uid="{833D4FCA-7F0E-4A89-95F4-2934979E8FE0}" name="12/16"/>
    <tableColumn id="95" xr3:uid="{6181E280-B754-457F-8DEB-CB6962CC00C2}" name="12/17"/>
    <tableColumn id="96" xr3:uid="{AE935A1D-08C7-4726-B19C-586F3544BC63}" name="12/18"/>
    <tableColumn id="97" xr3:uid="{41FB4E57-0733-4FCF-9991-CC8FB6ED73FF}" name="12/19"/>
    <tableColumn id="98" xr3:uid="{63C70FBD-2D3F-4EDA-BAE9-6600CC593556}" name="12/20"/>
    <tableColumn id="99" xr3:uid="{9F8A86BE-2889-4143-835F-B5E30791C532}" name="12/21"/>
    <tableColumn id="100" xr3:uid="{993745D5-3A2A-4285-8687-D38F25221285}" name="12/22"/>
    <tableColumn id="101" xr3:uid="{C5B26D7C-838C-42F8-A705-5BEE11F395B2}" name="12/23"/>
    <tableColumn id="102" xr3:uid="{083B5680-4392-40DF-B8DE-866062E554DD}" name="12/24"/>
    <tableColumn id="103" xr3:uid="{B60E0413-A7DF-4ACB-870D-227C86C52EE7}" name="12/25"/>
    <tableColumn id="104" xr3:uid="{FE30D782-36C5-4C5D-937D-A96E3125CE3B}" name="12/26"/>
    <tableColumn id="105" xr3:uid="{B2C5E846-055C-44C1-B939-E4861E49728A}" name="12/27"/>
    <tableColumn id="106" xr3:uid="{C1B2549B-8BDB-4FE4-874D-30511BE29297}" name="12/28"/>
    <tableColumn id="107" xr3:uid="{9466C048-51BD-4ABC-A1E1-52A7F20748A5}" name="12/29"/>
    <tableColumn id="108" xr3:uid="{2A083E2C-0EDB-4A36-9C05-A444E9ADCD8F}" name="12/30"/>
    <tableColumn id="109" xr3:uid="{1F82C7F7-FFE7-4844-9E14-0F9272E8B20A}" name="12/31"/>
    <tableColumn id="110" xr3:uid="{2DE9A677-A031-45F5-A542-7195F5C2C35B}" name="1/1"/>
    <tableColumn id="111" xr3:uid="{EA1FED92-E875-498D-8F37-25BFE36AC559}" name="1/2"/>
    <tableColumn id="112" xr3:uid="{5881C123-04BE-4F56-9D52-FAA0F58D69FB}" name="1/3"/>
    <tableColumn id="113" xr3:uid="{4E6BC136-2495-493A-9A2F-4A4F239A6064}" name="1/4"/>
    <tableColumn id="114" xr3:uid="{46AA65E7-A3B0-4FCF-B916-B92C8743B48F}" name="1/5"/>
    <tableColumn id="115" xr3:uid="{462D5266-CC69-4B69-AFF6-8AB0B656BF95}" name="1/6"/>
    <tableColumn id="116" xr3:uid="{8D52FFC0-1510-49AA-BB15-248DCDB8CCCF}" name="1/7"/>
    <tableColumn id="117" xr3:uid="{D9970E94-9C86-40A1-BDDE-6F8118E4B0B3}" name="1/8"/>
    <tableColumn id="118" xr3:uid="{9312AEAE-EED3-4D62-A634-820536EE063D}" name="1/9"/>
    <tableColumn id="119" xr3:uid="{D24F387A-2D55-442E-876F-06F216904CA7}" name="1/10"/>
    <tableColumn id="120" xr3:uid="{E2A32336-370A-454B-B632-8C990B35D3CA}" name="1/11"/>
    <tableColumn id="121" xr3:uid="{84EA63D4-99CF-486A-8474-33CB820CCAF0}" name="1/12"/>
    <tableColumn id="122" xr3:uid="{F32B3D4D-6AA3-4217-B8FF-983950A50CF8}" name="1/13"/>
    <tableColumn id="123" xr3:uid="{38B91976-70B2-4117-86C1-CDD5F54D0CD9}" name="1/14"/>
    <tableColumn id="124" xr3:uid="{A2CC2603-ECC4-4B78-8C4B-CD46450A746C}" name="1/15"/>
    <tableColumn id="125" xr3:uid="{5E3FF2F0-B13F-48B4-A68E-5B17877F3E38}" name="1/16"/>
    <tableColumn id="126" xr3:uid="{5B9D9AEB-0EF3-4EB0-BAE3-45D4D22D31EE}" name="1/17"/>
    <tableColumn id="127" xr3:uid="{59383995-5D53-4E25-9C31-CAC7F23AEC76}" name="1/18"/>
    <tableColumn id="128" xr3:uid="{F09E8AEE-FD37-4DF7-844E-DEA87A4501F8}" name="1/19"/>
    <tableColumn id="129" xr3:uid="{CA5FE700-B30D-40C7-869D-5B55D1AF09E1}" name="1/20"/>
    <tableColumn id="130" xr3:uid="{3F9C5046-3590-4970-8180-17E429B64783}" name="1/21"/>
    <tableColumn id="131" xr3:uid="{088629C6-1507-47D8-BDFD-B2E5817D55AF}" name="1/22"/>
    <tableColumn id="132" xr3:uid="{3F16095B-2D61-4652-B85E-8451CE3466C1}" name="1/23"/>
    <tableColumn id="133" xr3:uid="{C5A39272-4004-461D-9C1E-0FC69E0B9EBC}" name="1/24"/>
    <tableColumn id="134" xr3:uid="{221713FA-2820-4CD4-8BF9-583EDCAEB6F0}" name="1/25"/>
    <tableColumn id="135" xr3:uid="{EB5F2A42-F538-452C-9A4E-560AF9A32096}" name="1/26"/>
    <tableColumn id="136" xr3:uid="{FC285953-EBC2-490E-AB68-D34AF927689D}" name="1/27"/>
    <tableColumn id="137" xr3:uid="{B8A9FF6D-54C7-4988-B6EB-CD62C8D8415E}" name="1/28"/>
    <tableColumn id="138" xr3:uid="{9E3EE1EA-610A-4939-B580-A496CD426B76}" name="1/29"/>
    <tableColumn id="139" xr3:uid="{89D40B67-E1BF-4916-88AA-A3E3C59DF384}" name="1/30"/>
    <tableColumn id="140" xr3:uid="{0FC1A618-A869-4C70-8C5A-66F7C1F01211}" name="1/31"/>
    <tableColumn id="141" xr3:uid="{23BC3328-5D51-45BD-8D1F-C82BAE41F3DE}" name="2/1"/>
    <tableColumn id="142" xr3:uid="{8FD28DA8-5508-42CC-99B2-A338D9527CBB}" name="2/2"/>
    <tableColumn id="143" xr3:uid="{7CBB8FDF-A66E-40A3-A6C1-733AC8379DFA}" name="2/3"/>
    <tableColumn id="144" xr3:uid="{BDE3D7BB-5DBA-4138-AA47-BEFB0F92FB6A}" name="2/4"/>
    <tableColumn id="145" xr3:uid="{251E8CFC-B7A3-46F8-B818-E0A99CBD69BE}" name="2/5"/>
    <tableColumn id="146" xr3:uid="{2D98CDCB-5BCB-4BE6-A9CC-5F67E5A179BD}" name="2/6"/>
    <tableColumn id="147" xr3:uid="{500C4C45-C048-4822-9CA6-0B87EE4FD2A0}" name="2/7"/>
    <tableColumn id="148" xr3:uid="{D483E9A6-3785-4692-9BD4-A99DAC8E0C80}" name="2/8"/>
    <tableColumn id="149" xr3:uid="{E5C30A6C-F8D9-462F-908D-3C9748E574E4}" name="2/9"/>
    <tableColumn id="150" xr3:uid="{9A64F7E9-EEC4-49BA-84D0-732003791C55}" name="2/10"/>
    <tableColumn id="151" xr3:uid="{CF0B4107-75F6-4E95-95FB-BED7B3BAC16B}" name="2/11"/>
    <tableColumn id="152" xr3:uid="{21D69672-01E3-4E99-BD8C-532F394078BD}" name="2/12"/>
    <tableColumn id="153" xr3:uid="{EFFC4B95-1536-4562-80B8-C92839439266}" name="2/13"/>
    <tableColumn id="154" xr3:uid="{8DA0C623-85FD-4B9A-87FC-3E40ECB0FC5D}" name="2/14"/>
    <tableColumn id="155" xr3:uid="{FAC58B0D-093D-4BF5-8E04-CE656319A21E}" name="2/15"/>
    <tableColumn id="156" xr3:uid="{16954385-544E-4CA7-B2C0-A41F3AF3E607}" name="2/16"/>
    <tableColumn id="157" xr3:uid="{6924CC24-F2C0-475F-BCC9-BC944CBBADE5}" name="2/17"/>
    <tableColumn id="158" xr3:uid="{3606382B-F9FD-433A-80C0-15CBB076EC63}" name="2/18"/>
    <tableColumn id="159" xr3:uid="{F6780AA5-65A2-429E-A5C8-DC6425A48325}" name="2/19"/>
    <tableColumn id="160" xr3:uid="{841F300D-2CBE-4ECE-964E-226C208C299F}" name="2/20"/>
    <tableColumn id="161" xr3:uid="{D10132DB-FAAA-41A6-9F57-330649B9035B}" name="2/21"/>
    <tableColumn id="162" xr3:uid="{33D30EF4-2580-4F48-924C-92D0A6024164}" name="2/22"/>
    <tableColumn id="163" xr3:uid="{A6766188-15E3-460D-8C07-CEA72C6DEB66}" name="2/23"/>
    <tableColumn id="164" xr3:uid="{A8B2CB6C-1720-42D8-B40F-273083F8F633}" name="2/24"/>
    <tableColumn id="165" xr3:uid="{3A080437-D0A5-4799-9DD0-D2DB4B7FDA46}" name="2/25"/>
    <tableColumn id="166" xr3:uid="{C863DAD0-D831-4381-8B01-EEA82ABA0C4E}" name="2/26"/>
    <tableColumn id="167" xr3:uid="{F8C636D1-BA6A-49DB-AC07-75960832DE9B}" name="2/27"/>
    <tableColumn id="168" xr3:uid="{ABE8E20C-4310-47A3-BEEB-392B2664BA84}" name="2/28"/>
    <tableColumn id="169" xr3:uid="{40EBFCC3-7F7C-4C5C-9A45-1612F87436B4}" name="3/1"/>
    <tableColumn id="170" xr3:uid="{C727BCEC-FDE1-4464-9635-9FB9BDBA64EC}" name="3/2"/>
    <tableColumn id="171" xr3:uid="{84FB3769-1E65-4A90-8E54-AF2AF53B8A5D}" name="3/3"/>
    <tableColumn id="172" xr3:uid="{736CD269-2DB9-4B83-876B-786518A9DFCB}" name="3/4"/>
    <tableColumn id="173" xr3:uid="{71470593-B0DD-459B-8F10-492B39AD2B4E}" name="3/5"/>
    <tableColumn id="174" xr3:uid="{5FF22002-4E05-43B7-B845-B9C37F6186E2}" name="3/6"/>
    <tableColumn id="175" xr3:uid="{B1C598CB-2F5C-46F6-8719-A9D20C1A504C}" name="3/7"/>
    <tableColumn id="176" xr3:uid="{D3891DED-A4BF-4874-8B15-2ED61533193D}" name="3/8"/>
    <tableColumn id="177" xr3:uid="{03D179D5-A9C0-42B8-9274-4606D2715878}" name="3/9"/>
    <tableColumn id="178" xr3:uid="{783379E4-241D-47D5-82E0-D6EA1076E4EF}" name="3/10"/>
    <tableColumn id="179" xr3:uid="{2FBD3A4A-AF10-4472-9DDB-FB5CE89BABF3}" name="3/11"/>
    <tableColumn id="180" xr3:uid="{F023608C-B26C-497C-A21E-E4A319B720C6}" name="3/12"/>
    <tableColumn id="181" xr3:uid="{1D42A229-FAC2-45AF-8177-381B6E50A8E0}" name="3/13"/>
    <tableColumn id="182" xr3:uid="{DD3CE688-A229-4A41-8660-DB89024749F0}" name="3/14"/>
    <tableColumn id="183" xr3:uid="{5369FDAD-4851-4F41-9332-D3DCCD2B5519}" name="3/15"/>
    <tableColumn id="184" xr3:uid="{FDC3FB8C-2A4E-4529-AB3E-FFA1E3195C9F}" name="3/16"/>
    <tableColumn id="185" xr3:uid="{23B5CA02-29B0-46B9-A53C-5A27DC259F1A}" name="3/17"/>
    <tableColumn id="186" xr3:uid="{19E79B87-6682-46E9-BB34-16E81D69699F}" name="3/18"/>
    <tableColumn id="187" xr3:uid="{28D6D173-B775-4001-9364-5C45068DDEF4}" name="3/19"/>
    <tableColumn id="188" xr3:uid="{ABD3F481-39A6-4B9B-8844-01D211179F3D}" name="3/20"/>
    <tableColumn id="189" xr3:uid="{180C51E7-BBFF-43AB-B82D-E0D01B886468}" name="3/21"/>
    <tableColumn id="190" xr3:uid="{73CB2285-E3D6-4DAA-A6B5-7B762C1C1BC9}" name="3/22"/>
    <tableColumn id="191" xr3:uid="{1A2CCDC1-2FAA-4BE0-BDED-2C2CF0AFFB49}" name="3/23"/>
    <tableColumn id="192" xr3:uid="{694343BA-9719-4C73-9C2A-AF73A670654B}" name="3/24"/>
    <tableColumn id="193" xr3:uid="{956BAB25-BBB8-4117-898D-EE1566E750C1}" name="3/25"/>
    <tableColumn id="194" xr3:uid="{FF92C115-9731-4CFF-AFBD-44D1FCA6BD8B}" name="3/26"/>
    <tableColumn id="195" xr3:uid="{D555A73A-C0F1-45E0-8647-B0A6273382DC}" name="3/27"/>
    <tableColumn id="196" xr3:uid="{133D4FC9-4775-469B-BBA0-7B8D3B8974E5}" name="3/28"/>
    <tableColumn id="197" xr3:uid="{D9E7FCC2-E167-446C-97AE-8EE37FF73AAB}" name="3/29"/>
    <tableColumn id="198" xr3:uid="{B429F6F9-A6BB-4669-88B0-A6E8DEBA9946}" name="3/30"/>
    <tableColumn id="199" xr3:uid="{1629500E-C14A-4532-8724-BC0B6729368C}" name="3/3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S106"/>
  <sheetViews>
    <sheetView showGridLines="0" workbookViewId="0">
      <selection activeCell="M7" sqref="M7"/>
    </sheetView>
  </sheetViews>
  <sheetFormatPr defaultRowHeight="13" x14ac:dyDescent="0.2"/>
  <cols>
    <col min="1" max="1" width="8.7265625" customWidth="1"/>
    <col min="2" max="2" width="7.7265625" customWidth="1"/>
    <col min="3" max="3" width="28.7265625" customWidth="1"/>
    <col min="4" max="4" width="12.7265625" customWidth="1"/>
    <col min="5" max="5" width="14.7265625" customWidth="1"/>
    <col min="6" max="10" width="13.7265625" customWidth="1"/>
    <col min="11" max="11" width="9.7265625" customWidth="1"/>
    <col min="12" max="14" width="10.7265625" customWidth="1"/>
    <col min="15" max="15" width="8.7265625" customWidth="1"/>
    <col min="16" max="16" width="24.7265625" customWidth="1"/>
    <col min="17" max="17" width="12.7265625" customWidth="1"/>
    <col min="18" max="383" width="3.81640625" customWidth="1"/>
  </cols>
  <sheetData>
    <row r="1" spans="1:383" ht="32" customHeight="1" x14ac:dyDescent="0.2">
      <c r="A1" s="21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</row>
    <row r="2" spans="1:383" x14ac:dyDescent="0.2">
      <c r="A2" s="22" t="s">
        <v>21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</row>
    <row r="4" spans="1:383" ht="22" customHeight="1" x14ac:dyDescent="0.2">
      <c r="R4" s="1">
        <v>46296</v>
      </c>
      <c r="S4" s="1">
        <v>46297</v>
      </c>
      <c r="T4" s="1">
        <v>46298</v>
      </c>
      <c r="U4" s="1">
        <v>46299</v>
      </c>
      <c r="V4" s="1">
        <v>46300</v>
      </c>
      <c r="W4" s="1">
        <v>46301</v>
      </c>
      <c r="X4" s="1">
        <v>46302</v>
      </c>
      <c r="Y4" s="1">
        <v>46303</v>
      </c>
      <c r="Z4" s="1">
        <v>46304</v>
      </c>
      <c r="AA4" s="1">
        <v>46305</v>
      </c>
      <c r="AB4" s="1">
        <v>46306</v>
      </c>
      <c r="AC4" s="1">
        <v>46307</v>
      </c>
      <c r="AD4" s="1">
        <v>46308</v>
      </c>
      <c r="AE4" s="1">
        <v>46309</v>
      </c>
      <c r="AF4" s="1">
        <v>46310</v>
      </c>
      <c r="AG4" s="1">
        <v>46311</v>
      </c>
      <c r="AH4" s="1">
        <v>46312</v>
      </c>
      <c r="AI4" s="1">
        <v>46313</v>
      </c>
      <c r="AJ4" s="1">
        <v>46314</v>
      </c>
      <c r="AK4" s="1">
        <v>46315</v>
      </c>
      <c r="AL4" s="1">
        <v>46316</v>
      </c>
      <c r="AM4" s="1">
        <v>46317</v>
      </c>
      <c r="AN4" s="1">
        <v>46318</v>
      </c>
      <c r="AO4" s="1">
        <v>46319</v>
      </c>
      <c r="AP4" s="1">
        <v>46320</v>
      </c>
      <c r="AQ4" s="1">
        <v>46321</v>
      </c>
      <c r="AR4" s="1">
        <v>46322</v>
      </c>
      <c r="AS4" s="1">
        <v>46323</v>
      </c>
      <c r="AT4" s="1">
        <v>46324</v>
      </c>
      <c r="AU4" s="1">
        <v>46325</v>
      </c>
      <c r="AV4" s="1">
        <v>46326</v>
      </c>
      <c r="AW4" s="1">
        <v>46327</v>
      </c>
      <c r="AX4" s="1">
        <v>46328</v>
      </c>
      <c r="AY4" s="1">
        <v>46329</v>
      </c>
      <c r="AZ4" s="1">
        <v>46330</v>
      </c>
      <c r="BA4" s="1">
        <v>46331</v>
      </c>
      <c r="BB4" s="1">
        <v>46332</v>
      </c>
      <c r="BC4" s="1">
        <v>46333</v>
      </c>
      <c r="BD4" s="1">
        <v>46334</v>
      </c>
      <c r="BE4" s="1">
        <v>46335</v>
      </c>
      <c r="BF4" s="1">
        <v>46336</v>
      </c>
      <c r="BG4" s="1">
        <v>46337</v>
      </c>
      <c r="BH4" s="1">
        <v>46338</v>
      </c>
      <c r="BI4" s="1">
        <v>46339</v>
      </c>
      <c r="BJ4" s="1">
        <v>46340</v>
      </c>
      <c r="BK4" s="1">
        <v>46341</v>
      </c>
      <c r="BL4" s="1">
        <v>46342</v>
      </c>
      <c r="BM4" s="1">
        <v>46343</v>
      </c>
      <c r="BN4" s="1">
        <v>46344</v>
      </c>
      <c r="BO4" s="1">
        <v>46345</v>
      </c>
      <c r="BP4" s="1">
        <v>46346</v>
      </c>
      <c r="BQ4" s="1">
        <v>46347</v>
      </c>
      <c r="BR4" s="1">
        <v>46348</v>
      </c>
      <c r="BS4" s="1">
        <v>46349</v>
      </c>
      <c r="BT4" s="1">
        <v>46350</v>
      </c>
      <c r="BU4" s="1">
        <v>46351</v>
      </c>
      <c r="BV4" s="1">
        <v>46352</v>
      </c>
      <c r="BW4" s="1">
        <v>46353</v>
      </c>
      <c r="BX4" s="1">
        <v>46354</v>
      </c>
      <c r="BY4" s="1">
        <v>46355</v>
      </c>
      <c r="BZ4" s="1">
        <v>46356</v>
      </c>
      <c r="CA4" s="1">
        <v>46357</v>
      </c>
      <c r="CB4" s="1">
        <v>46358</v>
      </c>
      <c r="CC4" s="1">
        <v>46359</v>
      </c>
      <c r="CD4" s="1">
        <v>46360</v>
      </c>
      <c r="CE4" s="1">
        <v>46361</v>
      </c>
      <c r="CF4" s="1">
        <v>46362</v>
      </c>
      <c r="CG4" s="1">
        <v>46363</v>
      </c>
      <c r="CH4" s="1">
        <v>46364</v>
      </c>
      <c r="CI4" s="1">
        <v>46365</v>
      </c>
      <c r="CJ4" s="1">
        <v>46366</v>
      </c>
      <c r="CK4" s="1">
        <v>46367</v>
      </c>
      <c r="CL4" s="1">
        <v>46368</v>
      </c>
      <c r="CM4" s="1">
        <v>46369</v>
      </c>
      <c r="CN4" s="1">
        <v>46370</v>
      </c>
      <c r="CO4" s="1">
        <v>46371</v>
      </c>
      <c r="CP4" s="1">
        <v>46372</v>
      </c>
      <c r="CQ4" s="1">
        <v>46373</v>
      </c>
      <c r="CR4" s="1">
        <v>46374</v>
      </c>
      <c r="CS4" s="1">
        <v>46375</v>
      </c>
      <c r="CT4" s="1">
        <v>46376</v>
      </c>
      <c r="CU4" s="1">
        <v>46377</v>
      </c>
      <c r="CV4" s="1">
        <v>46378</v>
      </c>
      <c r="CW4" s="1">
        <v>46379</v>
      </c>
      <c r="CX4" s="1">
        <v>46380</v>
      </c>
      <c r="CY4" s="1">
        <v>46381</v>
      </c>
      <c r="CZ4" s="1">
        <v>46382</v>
      </c>
      <c r="DA4" s="1">
        <v>46383</v>
      </c>
      <c r="DB4" s="1">
        <v>46384</v>
      </c>
      <c r="DC4" s="1">
        <v>46385</v>
      </c>
      <c r="DD4" s="1">
        <v>46386</v>
      </c>
      <c r="DE4" s="1">
        <v>46387</v>
      </c>
      <c r="DF4" s="1">
        <v>46388</v>
      </c>
      <c r="DG4" s="1">
        <v>46389</v>
      </c>
      <c r="DH4" s="1">
        <v>46390</v>
      </c>
      <c r="DI4" s="1">
        <v>46391</v>
      </c>
      <c r="DJ4" s="1">
        <v>46392</v>
      </c>
      <c r="DK4" s="1">
        <v>46393</v>
      </c>
      <c r="DL4" s="1">
        <v>46394</v>
      </c>
      <c r="DM4" s="1">
        <v>46395</v>
      </c>
      <c r="DN4" s="1">
        <v>46396</v>
      </c>
      <c r="DO4" s="1">
        <v>46397</v>
      </c>
      <c r="DP4" s="1">
        <v>46398</v>
      </c>
      <c r="DQ4" s="1">
        <v>46399</v>
      </c>
      <c r="DR4" s="1">
        <v>46400</v>
      </c>
      <c r="DS4" s="1">
        <v>46401</v>
      </c>
      <c r="DT4" s="1">
        <v>46402</v>
      </c>
      <c r="DU4" s="1">
        <v>46403</v>
      </c>
      <c r="DV4" s="1">
        <v>46404</v>
      </c>
      <c r="DW4" s="1">
        <v>46405</v>
      </c>
      <c r="DX4" s="1">
        <v>46406</v>
      </c>
      <c r="DY4" s="1">
        <v>46407</v>
      </c>
      <c r="DZ4" s="1">
        <v>46408</v>
      </c>
      <c r="EA4" s="1">
        <v>46409</v>
      </c>
      <c r="EB4" s="1">
        <v>46410</v>
      </c>
      <c r="EC4" s="1">
        <v>46411</v>
      </c>
      <c r="ED4" s="1">
        <v>46412</v>
      </c>
      <c r="EE4" s="1">
        <v>46413</v>
      </c>
      <c r="EF4" s="1">
        <v>46414</v>
      </c>
      <c r="EG4" s="1">
        <v>46415</v>
      </c>
      <c r="EH4" s="1">
        <v>46416</v>
      </c>
      <c r="EI4" s="1">
        <v>46417</v>
      </c>
      <c r="EJ4" s="1">
        <v>46418</v>
      </c>
      <c r="EK4" s="1">
        <v>46419</v>
      </c>
      <c r="EL4" s="1">
        <v>46420</v>
      </c>
      <c r="EM4" s="1">
        <v>46421</v>
      </c>
      <c r="EN4" s="1">
        <v>46422</v>
      </c>
      <c r="EO4" s="1">
        <v>46423</v>
      </c>
      <c r="EP4" s="1">
        <v>46424</v>
      </c>
      <c r="EQ4" s="1">
        <v>46425</v>
      </c>
      <c r="ER4" s="1">
        <v>46426</v>
      </c>
      <c r="ES4" s="1">
        <v>46427</v>
      </c>
      <c r="ET4" s="1">
        <v>46428</v>
      </c>
      <c r="EU4" s="1">
        <v>46429</v>
      </c>
      <c r="EV4" s="1">
        <v>46430</v>
      </c>
      <c r="EW4" s="1">
        <v>46431</v>
      </c>
      <c r="EX4" s="1">
        <v>46432</v>
      </c>
      <c r="EY4" s="1">
        <v>46433</v>
      </c>
      <c r="EZ4" s="1">
        <v>46434</v>
      </c>
      <c r="FA4" s="1">
        <v>46435</v>
      </c>
      <c r="FB4" s="1">
        <v>46436</v>
      </c>
      <c r="FC4" s="1">
        <v>46437</v>
      </c>
      <c r="FD4" s="1">
        <v>46438</v>
      </c>
      <c r="FE4" s="1">
        <v>46439</v>
      </c>
      <c r="FF4" s="1">
        <v>46440</v>
      </c>
      <c r="FG4" s="1">
        <v>46441</v>
      </c>
      <c r="FH4" s="1">
        <v>46442</v>
      </c>
      <c r="FI4" s="1">
        <v>46443</v>
      </c>
      <c r="FJ4" s="1">
        <v>46444</v>
      </c>
      <c r="FK4" s="1">
        <v>46445</v>
      </c>
      <c r="FL4" s="1">
        <v>46446</v>
      </c>
      <c r="FM4" s="1">
        <v>46447</v>
      </c>
      <c r="FN4" s="1">
        <v>46448</v>
      </c>
      <c r="FO4" s="1">
        <v>46449</v>
      </c>
      <c r="FP4" s="1">
        <v>46450</v>
      </c>
      <c r="FQ4" s="1">
        <v>46451</v>
      </c>
      <c r="FR4" s="1">
        <v>46452</v>
      </c>
      <c r="FS4" s="1">
        <v>46453</v>
      </c>
      <c r="FT4" s="1">
        <v>46454</v>
      </c>
      <c r="FU4" s="1">
        <v>46455</v>
      </c>
      <c r="FV4" s="1">
        <v>46456</v>
      </c>
      <c r="FW4" s="1">
        <v>46457</v>
      </c>
      <c r="FX4" s="1">
        <v>46458</v>
      </c>
      <c r="FY4" s="1">
        <v>46459</v>
      </c>
      <c r="FZ4" s="1">
        <v>46460</v>
      </c>
      <c r="GA4" s="1">
        <v>46461</v>
      </c>
      <c r="GB4" s="1">
        <v>46462</v>
      </c>
      <c r="GC4" s="1">
        <v>46463</v>
      </c>
      <c r="GD4" s="1">
        <v>46464</v>
      </c>
      <c r="GE4" s="1">
        <v>46465</v>
      </c>
      <c r="GF4" s="1">
        <v>46466</v>
      </c>
      <c r="GG4" s="1">
        <v>46467</v>
      </c>
      <c r="GH4" s="1">
        <v>46468</v>
      </c>
      <c r="GI4" s="1">
        <v>46469</v>
      </c>
      <c r="GJ4" s="1">
        <v>46470</v>
      </c>
      <c r="GK4" s="1">
        <v>46471</v>
      </c>
      <c r="GL4" s="1">
        <v>46472</v>
      </c>
      <c r="GM4" s="1">
        <v>46473</v>
      </c>
      <c r="GN4" s="1">
        <v>46474</v>
      </c>
      <c r="GO4" s="1">
        <v>46475</v>
      </c>
      <c r="GP4" s="1">
        <v>46476</v>
      </c>
      <c r="GQ4" s="1">
        <v>46477</v>
      </c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</row>
    <row r="5" spans="1:383" ht="34" customHeight="1" x14ac:dyDescent="0.2">
      <c r="A5" t="s">
        <v>22</v>
      </c>
      <c r="B5" t="s">
        <v>23</v>
      </c>
      <c r="C5" t="s">
        <v>24</v>
      </c>
      <c r="D5" t="s">
        <v>25</v>
      </c>
      <c r="E5" t="s">
        <v>26</v>
      </c>
      <c r="F5" t="s">
        <v>27</v>
      </c>
      <c r="G5" t="s">
        <v>28</v>
      </c>
      <c r="H5" t="s">
        <v>29</v>
      </c>
      <c r="I5" t="s">
        <v>30</v>
      </c>
      <c r="J5" t="s">
        <v>31</v>
      </c>
      <c r="K5" t="s">
        <v>32</v>
      </c>
      <c r="L5" t="s">
        <v>33</v>
      </c>
      <c r="M5" t="s">
        <v>34</v>
      </c>
      <c r="N5" t="s">
        <v>35</v>
      </c>
      <c r="O5" t="s">
        <v>36</v>
      </c>
      <c r="P5" t="s">
        <v>37</v>
      </c>
      <c r="Q5" t="s">
        <v>38</v>
      </c>
      <c r="R5" s="2" t="s">
        <v>77</v>
      </c>
      <c r="S5" s="2" t="s">
        <v>78</v>
      </c>
      <c r="T5" s="2" t="s">
        <v>79</v>
      </c>
      <c r="U5" s="2" t="s">
        <v>80</v>
      </c>
      <c r="V5" s="2" t="s">
        <v>81</v>
      </c>
      <c r="W5" s="2" t="s">
        <v>82</v>
      </c>
      <c r="X5" s="2" t="s">
        <v>83</v>
      </c>
      <c r="Y5" s="2" t="s">
        <v>84</v>
      </c>
      <c r="Z5" s="2" t="s">
        <v>85</v>
      </c>
      <c r="AA5" s="2" t="s">
        <v>86</v>
      </c>
      <c r="AB5" s="2" t="s">
        <v>87</v>
      </c>
      <c r="AC5" s="2" t="s">
        <v>88</v>
      </c>
      <c r="AD5" s="2" t="s">
        <v>89</v>
      </c>
      <c r="AE5" s="2" t="s">
        <v>90</v>
      </c>
      <c r="AF5" s="2" t="s">
        <v>91</v>
      </c>
      <c r="AG5" s="2" t="s">
        <v>92</v>
      </c>
      <c r="AH5" s="2" t="s">
        <v>93</v>
      </c>
      <c r="AI5" s="2" t="s">
        <v>94</v>
      </c>
      <c r="AJ5" s="2" t="s">
        <v>95</v>
      </c>
      <c r="AK5" s="2" t="s">
        <v>96</v>
      </c>
      <c r="AL5" s="2" t="s">
        <v>97</v>
      </c>
      <c r="AM5" s="2" t="s">
        <v>98</v>
      </c>
      <c r="AN5" s="2" t="s">
        <v>99</v>
      </c>
      <c r="AO5" s="2" t="s">
        <v>100</v>
      </c>
      <c r="AP5" s="2" t="s">
        <v>101</v>
      </c>
      <c r="AQ5" s="2" t="s">
        <v>102</v>
      </c>
      <c r="AR5" s="2" t="s">
        <v>103</v>
      </c>
      <c r="AS5" s="2" t="s">
        <v>104</v>
      </c>
      <c r="AT5" s="2" t="s">
        <v>105</v>
      </c>
      <c r="AU5" s="2" t="s">
        <v>106</v>
      </c>
      <c r="AV5" s="2" t="s">
        <v>107</v>
      </c>
      <c r="AW5" s="2" t="s">
        <v>108</v>
      </c>
      <c r="AX5" s="2" t="s">
        <v>109</v>
      </c>
      <c r="AY5" s="2" t="s">
        <v>110</v>
      </c>
      <c r="AZ5" s="2" t="s">
        <v>111</v>
      </c>
      <c r="BA5" s="2" t="s">
        <v>112</v>
      </c>
      <c r="BB5" s="2" t="s">
        <v>113</v>
      </c>
      <c r="BC5" s="2" t="s">
        <v>114</v>
      </c>
      <c r="BD5" s="2" t="s">
        <v>115</v>
      </c>
      <c r="BE5" s="2" t="s">
        <v>116</v>
      </c>
      <c r="BF5" s="2" t="s">
        <v>117</v>
      </c>
      <c r="BG5" s="2" t="s">
        <v>118</v>
      </c>
      <c r="BH5" s="2" t="s">
        <v>119</v>
      </c>
      <c r="BI5" s="2" t="s">
        <v>120</v>
      </c>
      <c r="BJ5" s="2" t="s">
        <v>121</v>
      </c>
      <c r="BK5" s="2" t="s">
        <v>122</v>
      </c>
      <c r="BL5" s="2" t="s">
        <v>123</v>
      </c>
      <c r="BM5" s="2" t="s">
        <v>124</v>
      </c>
      <c r="BN5" s="2" t="s">
        <v>125</v>
      </c>
      <c r="BO5" s="2" t="s">
        <v>126</v>
      </c>
      <c r="BP5" s="2" t="s">
        <v>127</v>
      </c>
      <c r="BQ5" s="2" t="s">
        <v>128</v>
      </c>
      <c r="BR5" s="2" t="s">
        <v>129</v>
      </c>
      <c r="BS5" s="2" t="s">
        <v>130</v>
      </c>
      <c r="BT5" s="2" t="s">
        <v>131</v>
      </c>
      <c r="BU5" s="2" t="s">
        <v>132</v>
      </c>
      <c r="BV5" s="2" t="s">
        <v>133</v>
      </c>
      <c r="BW5" s="2" t="s">
        <v>134</v>
      </c>
      <c r="BX5" s="2" t="s">
        <v>135</v>
      </c>
      <c r="BY5" s="2" t="s">
        <v>136</v>
      </c>
      <c r="BZ5" s="2" t="s">
        <v>137</v>
      </c>
      <c r="CA5" s="2" t="s">
        <v>138</v>
      </c>
      <c r="CB5" s="2" t="s">
        <v>139</v>
      </c>
      <c r="CC5" s="2" t="s">
        <v>140</v>
      </c>
      <c r="CD5" s="2" t="s">
        <v>141</v>
      </c>
      <c r="CE5" s="2" t="s">
        <v>142</v>
      </c>
      <c r="CF5" s="2" t="s">
        <v>143</v>
      </c>
      <c r="CG5" s="2" t="s">
        <v>144</v>
      </c>
      <c r="CH5" s="2" t="s">
        <v>145</v>
      </c>
      <c r="CI5" s="2" t="s">
        <v>146</v>
      </c>
      <c r="CJ5" s="2" t="s">
        <v>147</v>
      </c>
      <c r="CK5" s="2" t="s">
        <v>148</v>
      </c>
      <c r="CL5" s="2" t="s">
        <v>149</v>
      </c>
      <c r="CM5" s="2" t="s">
        <v>150</v>
      </c>
      <c r="CN5" s="2" t="s">
        <v>151</v>
      </c>
      <c r="CO5" s="2" t="s">
        <v>152</v>
      </c>
      <c r="CP5" s="2" t="s">
        <v>153</v>
      </c>
      <c r="CQ5" s="2" t="s">
        <v>154</v>
      </c>
      <c r="CR5" s="2" t="s">
        <v>155</v>
      </c>
      <c r="CS5" s="2" t="s">
        <v>156</v>
      </c>
      <c r="CT5" s="2" t="s">
        <v>157</v>
      </c>
      <c r="CU5" s="2" t="s">
        <v>158</v>
      </c>
      <c r="CV5" s="2" t="s">
        <v>159</v>
      </c>
      <c r="CW5" s="2" t="s">
        <v>160</v>
      </c>
      <c r="CX5" s="2" t="s">
        <v>161</v>
      </c>
      <c r="CY5" s="2" t="s">
        <v>162</v>
      </c>
      <c r="CZ5" s="2" t="s">
        <v>163</v>
      </c>
      <c r="DA5" s="2" t="s">
        <v>164</v>
      </c>
      <c r="DB5" s="2" t="s">
        <v>165</v>
      </c>
      <c r="DC5" s="2" t="s">
        <v>166</v>
      </c>
      <c r="DD5" s="2" t="s">
        <v>167</v>
      </c>
      <c r="DE5" s="2" t="s">
        <v>168</v>
      </c>
      <c r="DF5" s="2" t="s">
        <v>169</v>
      </c>
      <c r="DG5" s="2" t="s">
        <v>170</v>
      </c>
      <c r="DH5" s="2" t="s">
        <v>171</v>
      </c>
      <c r="DI5" s="2" t="s">
        <v>172</v>
      </c>
      <c r="DJ5" s="2" t="s">
        <v>173</v>
      </c>
      <c r="DK5" s="2" t="s">
        <v>174</v>
      </c>
      <c r="DL5" s="2" t="s">
        <v>175</v>
      </c>
      <c r="DM5" s="2" t="s">
        <v>176</v>
      </c>
      <c r="DN5" s="2" t="s">
        <v>177</v>
      </c>
      <c r="DO5" s="2" t="s">
        <v>178</v>
      </c>
      <c r="DP5" s="2" t="s">
        <v>179</v>
      </c>
      <c r="DQ5" s="2" t="s">
        <v>180</v>
      </c>
      <c r="DR5" s="2" t="s">
        <v>181</v>
      </c>
      <c r="DS5" s="2" t="s">
        <v>182</v>
      </c>
      <c r="DT5" s="2" t="s">
        <v>183</v>
      </c>
      <c r="DU5" s="2" t="s">
        <v>184</v>
      </c>
      <c r="DV5" s="2" t="s">
        <v>185</v>
      </c>
      <c r="DW5" s="2" t="s">
        <v>186</v>
      </c>
      <c r="DX5" s="2" t="s">
        <v>187</v>
      </c>
      <c r="DY5" s="2" t="s">
        <v>188</v>
      </c>
      <c r="DZ5" s="2" t="s">
        <v>189</v>
      </c>
      <c r="EA5" s="2" t="s">
        <v>190</v>
      </c>
      <c r="EB5" s="2" t="s">
        <v>191</v>
      </c>
      <c r="EC5" s="2" t="s">
        <v>192</v>
      </c>
      <c r="ED5" s="2" t="s">
        <v>193</v>
      </c>
      <c r="EE5" s="2" t="s">
        <v>194</v>
      </c>
      <c r="EF5" s="2" t="s">
        <v>195</v>
      </c>
      <c r="EG5" s="2" t="s">
        <v>196</v>
      </c>
      <c r="EH5" s="2" t="s">
        <v>197</v>
      </c>
      <c r="EI5" s="2" t="s">
        <v>198</v>
      </c>
      <c r="EJ5" s="2" t="s">
        <v>199</v>
      </c>
      <c r="EK5" s="2" t="s">
        <v>200</v>
      </c>
      <c r="EL5" s="2" t="s">
        <v>201</v>
      </c>
      <c r="EM5" s="2" t="s">
        <v>202</v>
      </c>
      <c r="EN5" s="2" t="s">
        <v>203</v>
      </c>
      <c r="EO5" s="2" t="s">
        <v>204</v>
      </c>
      <c r="EP5" s="2" t="s">
        <v>205</v>
      </c>
      <c r="EQ5" s="2" t="s">
        <v>206</v>
      </c>
      <c r="ER5" s="2" t="s">
        <v>207</v>
      </c>
      <c r="ES5" s="2" t="s">
        <v>208</v>
      </c>
      <c r="ET5" s="2" t="s">
        <v>209</v>
      </c>
      <c r="EU5" s="2" t="s">
        <v>210</v>
      </c>
      <c r="EV5" s="2" t="s">
        <v>211</v>
      </c>
      <c r="EW5" s="2" t="s">
        <v>212</v>
      </c>
      <c r="EX5" s="2" t="s">
        <v>213</v>
      </c>
      <c r="EY5" s="2" t="s">
        <v>214</v>
      </c>
      <c r="EZ5" s="2" t="s">
        <v>215</v>
      </c>
      <c r="FA5" s="2" t="s">
        <v>216</v>
      </c>
      <c r="FB5" s="2" t="s">
        <v>217</v>
      </c>
      <c r="FC5" s="2" t="s">
        <v>218</v>
      </c>
      <c r="FD5" s="2" t="s">
        <v>219</v>
      </c>
      <c r="FE5" s="2" t="s">
        <v>220</v>
      </c>
      <c r="FF5" s="2" t="s">
        <v>221</v>
      </c>
      <c r="FG5" s="2" t="s">
        <v>222</v>
      </c>
      <c r="FH5" s="2" t="s">
        <v>223</v>
      </c>
      <c r="FI5" s="2" t="s">
        <v>224</v>
      </c>
      <c r="FJ5" s="2" t="s">
        <v>225</v>
      </c>
      <c r="FK5" s="2" t="s">
        <v>226</v>
      </c>
      <c r="FL5" s="2" t="s">
        <v>227</v>
      </c>
      <c r="FM5" s="2" t="s">
        <v>228</v>
      </c>
      <c r="FN5" s="2" t="s">
        <v>229</v>
      </c>
      <c r="FO5" s="2" t="s">
        <v>230</v>
      </c>
      <c r="FP5" s="2" t="s">
        <v>231</v>
      </c>
      <c r="FQ5" s="2" t="s">
        <v>232</v>
      </c>
      <c r="FR5" s="2" t="s">
        <v>233</v>
      </c>
      <c r="FS5" s="2" t="s">
        <v>234</v>
      </c>
      <c r="FT5" s="2" t="s">
        <v>235</v>
      </c>
      <c r="FU5" s="2" t="s">
        <v>236</v>
      </c>
      <c r="FV5" s="2" t="s">
        <v>237</v>
      </c>
      <c r="FW5" s="2" t="s">
        <v>238</v>
      </c>
      <c r="FX5" s="2" t="s">
        <v>239</v>
      </c>
      <c r="FY5" s="2" t="s">
        <v>240</v>
      </c>
      <c r="FZ5" s="2" t="s">
        <v>241</v>
      </c>
      <c r="GA5" s="2" t="s">
        <v>242</v>
      </c>
      <c r="GB5" s="2" t="s">
        <v>243</v>
      </c>
      <c r="GC5" s="2" t="s">
        <v>244</v>
      </c>
      <c r="GD5" s="2" t="s">
        <v>245</v>
      </c>
      <c r="GE5" s="2" t="s">
        <v>246</v>
      </c>
      <c r="GF5" s="2" t="s">
        <v>247</v>
      </c>
      <c r="GG5" s="2" t="s">
        <v>248</v>
      </c>
      <c r="GH5" s="2" t="s">
        <v>249</v>
      </c>
      <c r="GI5" s="2" t="s">
        <v>250</v>
      </c>
      <c r="GJ5" s="2" t="s">
        <v>251</v>
      </c>
      <c r="GK5" s="2" t="s">
        <v>252</v>
      </c>
      <c r="GL5" s="2" t="s">
        <v>253</v>
      </c>
      <c r="GM5" s="2" t="s">
        <v>254</v>
      </c>
      <c r="GN5" s="2" t="s">
        <v>255</v>
      </c>
      <c r="GO5" s="2" t="s">
        <v>256</v>
      </c>
      <c r="GP5" s="2" t="s">
        <v>257</v>
      </c>
      <c r="GQ5" s="2" t="s">
        <v>258</v>
      </c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</row>
    <row r="6" spans="1:383" x14ac:dyDescent="0.2">
      <c r="A6" s="3" t="s">
        <v>39</v>
      </c>
      <c r="B6" s="3">
        <v>0</v>
      </c>
      <c r="C6" s="3" t="s">
        <v>40</v>
      </c>
      <c r="D6" s="3" t="s">
        <v>41</v>
      </c>
      <c r="E6" s="3" t="s">
        <v>42</v>
      </c>
      <c r="F6" s="4">
        <v>46296</v>
      </c>
      <c r="G6" s="5">
        <v>10</v>
      </c>
      <c r="H6" s="6">
        <v>46310</v>
      </c>
      <c r="K6" s="7">
        <v>0</v>
      </c>
      <c r="L6" s="8"/>
      <c r="M6" s="9" t="str">
        <f>IF(OR(F6="",I6=""),"",NETWORKDAYS.INTL(F6,I6-1,1,休日!$A$4:$A$200)-1)</f>
        <v/>
      </c>
      <c r="N6" s="9" t="str">
        <f>IF(OR(H6="",J6=""),"",NETWORKDAYS.INTL(H6,J6-1,1,休日!$A$4:$A$200)-1)</f>
        <v/>
      </c>
      <c r="O6" s="5">
        <v>1</v>
      </c>
      <c r="P6" s="8" t="s">
        <v>43</v>
      </c>
      <c r="Q6" s="9" t="str">
        <f t="shared" ref="Q6:Q38" si="0">IF(C6="","",IF(E6="マイルストーン","MILESTONE",IF(K6&gt;=1,"完了",IF(I6&lt;&gt;"","進行中","未着手"))))</f>
        <v>未着手</v>
      </c>
    </row>
    <row r="7" spans="1:383" x14ac:dyDescent="0.2">
      <c r="A7" s="8" t="s">
        <v>44</v>
      </c>
      <c r="B7" s="8">
        <v>1</v>
      </c>
      <c r="C7" s="8" t="s">
        <v>45</v>
      </c>
      <c r="D7" s="8" t="s">
        <v>41</v>
      </c>
      <c r="E7" s="8" t="s">
        <v>46</v>
      </c>
      <c r="F7" s="4">
        <v>46296</v>
      </c>
      <c r="G7" s="5">
        <v>1</v>
      </c>
      <c r="H7" s="6">
        <v>46296</v>
      </c>
      <c r="I7" s="6">
        <v>46296</v>
      </c>
      <c r="J7" s="6">
        <v>46296</v>
      </c>
      <c r="K7" s="7">
        <v>0.5</v>
      </c>
      <c r="L7" s="8"/>
      <c r="M7" s="9">
        <f>IF(OR(F7="",I7=""),"",NETWORKDAYS.INTL(F7,I7-1,1,休日!$A$4:$A$200)-1)</f>
        <v>-3</v>
      </c>
      <c r="N7" s="9">
        <f>IF(OR(H7="",J7=""),"",NETWORKDAYS.INTL(H7,J7-1,1,休日!$A$4:$A$200)-1)</f>
        <v>-3</v>
      </c>
      <c r="O7" s="5">
        <v>1</v>
      </c>
      <c r="P7" s="8"/>
      <c r="Q7" s="9" t="str">
        <f t="shared" si="0"/>
        <v>進行中</v>
      </c>
    </row>
    <row r="8" spans="1:383" x14ac:dyDescent="0.2">
      <c r="A8" s="8" t="s">
        <v>47</v>
      </c>
      <c r="B8" s="8">
        <v>1</v>
      </c>
      <c r="C8" s="8" t="s">
        <v>48</v>
      </c>
      <c r="D8" s="8" t="s">
        <v>49</v>
      </c>
      <c r="E8" s="8" t="s">
        <v>46</v>
      </c>
      <c r="F8" s="4">
        <v>46297</v>
      </c>
      <c r="G8" s="5">
        <v>5</v>
      </c>
      <c r="H8" s="6">
        <v>46303</v>
      </c>
      <c r="K8" s="7">
        <v>0</v>
      </c>
      <c r="L8" s="8" t="s">
        <v>44</v>
      </c>
      <c r="M8" s="9" t="str">
        <f>IF(OR(F8="",I8=""),"",NETWORKDAYS.INTL(F8,I8-1,1,休日!$A$4:$A$200)-1)</f>
        <v/>
      </c>
      <c r="N8" s="9" t="str">
        <f>IF(OR(H8="",J8=""),"",NETWORKDAYS.INTL(H8,J8-1,1,休日!$A$4:$A$200)-1)</f>
        <v/>
      </c>
      <c r="O8" s="5">
        <v>1</v>
      </c>
      <c r="P8" s="8"/>
      <c r="Q8" s="9" t="str">
        <f t="shared" si="0"/>
        <v>未着手</v>
      </c>
    </row>
    <row r="9" spans="1:383" x14ac:dyDescent="0.2">
      <c r="A9" s="10" t="s">
        <v>50</v>
      </c>
      <c r="B9" s="10">
        <v>1</v>
      </c>
      <c r="C9" s="10" t="s">
        <v>51</v>
      </c>
      <c r="D9" s="10" t="s">
        <v>41</v>
      </c>
      <c r="E9" s="10" t="s">
        <v>52</v>
      </c>
      <c r="F9" s="4">
        <v>46304</v>
      </c>
      <c r="G9" s="5">
        <v>1</v>
      </c>
      <c r="H9" s="6">
        <v>46304</v>
      </c>
      <c r="K9" s="7">
        <v>0</v>
      </c>
      <c r="L9" s="8" t="s">
        <v>47</v>
      </c>
      <c r="M9" s="9" t="str">
        <f>IF(OR(F9="",I9=""),"",NETWORKDAYS.INTL(F9,I9-1,1,休日!$A$4:$A$200)-1)</f>
        <v/>
      </c>
      <c r="N9" s="9" t="str">
        <f>IF(OR(H9="",J9=""),"",NETWORKDAYS.INTL(H9,J9-1,1,休日!$A$4:$A$200)-1)</f>
        <v/>
      </c>
      <c r="O9" s="5">
        <v>1</v>
      </c>
      <c r="P9" s="8" t="s">
        <v>53</v>
      </c>
      <c r="Q9" s="9" t="str">
        <f t="shared" si="0"/>
        <v>MILESTONE</v>
      </c>
    </row>
    <row r="10" spans="1:383" x14ac:dyDescent="0.2">
      <c r="A10" s="3" t="s">
        <v>54</v>
      </c>
      <c r="B10" s="3">
        <v>0</v>
      </c>
      <c r="C10" s="3" t="s">
        <v>55</v>
      </c>
      <c r="D10" s="3" t="s">
        <v>49</v>
      </c>
      <c r="E10" s="3" t="s">
        <v>42</v>
      </c>
      <c r="F10" s="4">
        <v>46306</v>
      </c>
      <c r="G10" s="5">
        <v>30</v>
      </c>
      <c r="H10" s="6">
        <v>46350</v>
      </c>
      <c r="K10" s="7">
        <v>0</v>
      </c>
      <c r="L10" s="8" t="s">
        <v>50</v>
      </c>
      <c r="M10" s="9" t="str">
        <f>IF(OR(F10="",I10=""),"",NETWORKDAYS.INTL(F10,I10-1,1,休日!$A$4:$A$200)-1)</f>
        <v/>
      </c>
      <c r="N10" s="9" t="str">
        <f>IF(OR(H10="",J10=""),"",NETWORKDAYS.INTL(H10,J10-1,1,休日!$A$4:$A$200)-1)</f>
        <v/>
      </c>
      <c r="O10" s="5">
        <v>1</v>
      </c>
      <c r="P10" s="8"/>
      <c r="Q10" s="9" t="str">
        <f t="shared" si="0"/>
        <v>未着手</v>
      </c>
    </row>
    <row r="11" spans="1:383" x14ac:dyDescent="0.2">
      <c r="A11" s="8" t="s">
        <v>56</v>
      </c>
      <c r="B11" s="8">
        <v>1</v>
      </c>
      <c r="C11" s="8" t="s">
        <v>57</v>
      </c>
      <c r="D11" s="8" t="s">
        <v>58</v>
      </c>
      <c r="E11" s="8" t="s">
        <v>46</v>
      </c>
      <c r="F11" s="4">
        <v>46306</v>
      </c>
      <c r="G11" s="5">
        <v>8</v>
      </c>
      <c r="H11" s="6">
        <v>46316</v>
      </c>
      <c r="K11" s="7">
        <v>0</v>
      </c>
      <c r="L11" s="8" t="s">
        <v>50</v>
      </c>
      <c r="M11" s="9" t="str">
        <f>IF(OR(F11="",I11=""),"",NETWORKDAYS.INTL(F11,I11-1,1,休日!$A$4:$A$200)-1)</f>
        <v/>
      </c>
      <c r="N11" s="9" t="str">
        <f>IF(OR(H11="",J11=""),"",NETWORKDAYS.INTL(H11,J11-1,1,休日!$A$4:$A$200)-1)</f>
        <v/>
      </c>
      <c r="O11" s="5">
        <v>1</v>
      </c>
      <c r="P11" s="8"/>
      <c r="Q11" s="9" t="str">
        <f t="shared" si="0"/>
        <v>未着手</v>
      </c>
    </row>
    <row r="12" spans="1:383" x14ac:dyDescent="0.2">
      <c r="A12" s="8" t="s">
        <v>59</v>
      </c>
      <c r="B12" s="8">
        <v>1</v>
      </c>
      <c r="C12" s="8" t="s">
        <v>60</v>
      </c>
      <c r="D12" s="8" t="s">
        <v>61</v>
      </c>
      <c r="E12" s="8" t="s">
        <v>46</v>
      </c>
      <c r="F12" s="4">
        <v>46317</v>
      </c>
      <c r="G12" s="5">
        <v>15</v>
      </c>
      <c r="H12" s="6">
        <v>46338</v>
      </c>
      <c r="K12" s="7">
        <v>0</v>
      </c>
      <c r="L12" s="8" t="s">
        <v>56</v>
      </c>
      <c r="M12" s="9" t="str">
        <f>IF(OR(F12="",I12=""),"",NETWORKDAYS.INTL(F12,I12-1,1,休日!$A$4:$A$200)-1)</f>
        <v/>
      </c>
      <c r="N12" s="9" t="str">
        <f>IF(OR(H12="",J12=""),"",NETWORKDAYS.INTL(H12,J12-1,1,休日!$A$4:$A$200)-1)</f>
        <v/>
      </c>
      <c r="O12" s="5">
        <v>2</v>
      </c>
      <c r="P12" s="8"/>
      <c r="Q12" s="9" t="str">
        <f t="shared" si="0"/>
        <v>未着手</v>
      </c>
    </row>
    <row r="13" spans="1:383" x14ac:dyDescent="0.2">
      <c r="A13" s="10" t="s">
        <v>62</v>
      </c>
      <c r="B13" s="10">
        <v>1</v>
      </c>
      <c r="C13" s="10" t="s">
        <v>63</v>
      </c>
      <c r="D13" s="10" t="s">
        <v>41</v>
      </c>
      <c r="E13" s="10" t="s">
        <v>52</v>
      </c>
      <c r="F13" s="4">
        <v>46339</v>
      </c>
      <c r="G13" s="5">
        <v>1</v>
      </c>
      <c r="H13" s="6">
        <v>46339</v>
      </c>
      <c r="K13" s="7">
        <v>0</v>
      </c>
      <c r="L13" s="8" t="s">
        <v>59</v>
      </c>
      <c r="M13" s="9" t="str">
        <f>IF(OR(F13="",I13=""),"",NETWORKDAYS.INTL(F13,I13-1,1,休日!$A$4:$A$200)-1)</f>
        <v/>
      </c>
      <c r="N13" s="9" t="str">
        <f>IF(OR(H13="",J13=""),"",NETWORKDAYS.INTL(H13,J13-1,1,休日!$A$4:$A$200)-1)</f>
        <v/>
      </c>
      <c r="O13" s="5">
        <v>1</v>
      </c>
      <c r="P13" s="8" t="s">
        <v>64</v>
      </c>
      <c r="Q13" s="9" t="str">
        <f t="shared" si="0"/>
        <v>MILESTONE</v>
      </c>
    </row>
    <row r="14" spans="1:383" x14ac:dyDescent="0.2">
      <c r="A14" s="8"/>
      <c r="B14" s="8"/>
      <c r="C14" s="8"/>
      <c r="D14" s="8"/>
      <c r="E14" s="8"/>
      <c r="H14" s="6" t="str">
        <f>IF(OR(F14="",G14=""),"",WORKDAY.INTL(F14,G14-1,1,休日!$A$4:$A$200))</f>
        <v/>
      </c>
      <c r="L14" s="8" t="s">
        <v>76</v>
      </c>
      <c r="M14" s="9" t="str">
        <f>IF(OR(F14="",I14=""),"",NETWORKDAYS.INTL(F14,I14-1,1,休日!$A$4:$A$200)-1)</f>
        <v/>
      </c>
      <c r="N14" s="9" t="str">
        <f>IF(OR(H14="",J14=""),"",NETWORKDAYS.INTL(H14,J14-1,1,休日!$A$4:$A$200)-1)</f>
        <v/>
      </c>
      <c r="P14" s="8" t="s">
        <v>76</v>
      </c>
      <c r="Q14" s="9" t="str">
        <f t="shared" ref="Q14" si="1">IF(C14="","",IF(E14="マイルストーン","MILESTONE",IF(K14&gt;=1,"完了",IF(I14&lt;&gt;"","進行中","未着手"))))</f>
        <v/>
      </c>
    </row>
    <row r="15" spans="1:383" x14ac:dyDescent="0.2">
      <c r="A15" s="8"/>
      <c r="B15" s="8"/>
      <c r="C15" s="8"/>
      <c r="D15" s="8"/>
      <c r="E15" s="8"/>
      <c r="H15" s="6" t="str">
        <f>IF(OR(F15="",G15=""),"",WORKDAY.INTL(F15,G15-1,1,休日!$A$4:$A$200))</f>
        <v/>
      </c>
      <c r="L15" s="8"/>
      <c r="M15" s="9" t="str">
        <f>IF(OR(F15="",I15=""),"",NETWORKDAYS.INTL(F15,I15-1,1,休日!$A$4:$A$200)-1)</f>
        <v/>
      </c>
      <c r="N15" s="9" t="str">
        <f>IF(OR(H15="",J15=""),"",NETWORKDAYS.INTL(H15,J15-1,1,休日!$A$4:$A$200)-1)</f>
        <v/>
      </c>
      <c r="P15" s="8"/>
      <c r="Q15" s="9" t="str">
        <f t="shared" si="0"/>
        <v/>
      </c>
    </row>
    <row r="16" spans="1:383" x14ac:dyDescent="0.2">
      <c r="A16" s="8"/>
      <c r="B16" s="8"/>
      <c r="C16" s="8"/>
      <c r="D16" s="8"/>
      <c r="E16" s="8"/>
      <c r="H16" s="6" t="str">
        <f>IF(OR(F16="",G16=""),"",WORKDAY.INTL(F16,G16-1,1,休日!$A$4:$A$200))</f>
        <v/>
      </c>
      <c r="L16" s="8"/>
      <c r="M16" s="9" t="str">
        <f>IF(OR(F16="",I16=""),"",NETWORKDAYS.INTL(F16,I16-1,1,休日!$A$4:$A$200)-1)</f>
        <v/>
      </c>
      <c r="N16" s="9" t="str">
        <f>IF(OR(H16="",J16=""),"",NETWORKDAYS.INTL(H16,J16-1,1,休日!$A$4:$A$200)-1)</f>
        <v/>
      </c>
      <c r="P16" s="8"/>
      <c r="Q16" s="9" t="str">
        <f t="shared" si="0"/>
        <v/>
      </c>
    </row>
    <row r="17" spans="1:17" x14ac:dyDescent="0.2">
      <c r="A17" s="8"/>
      <c r="B17" s="8"/>
      <c r="C17" s="8"/>
      <c r="D17" s="8"/>
      <c r="E17" s="8"/>
      <c r="H17" s="6" t="str">
        <f>IF(OR(F17="",G17=""),"",WORKDAY.INTL(F17,G17-1,1,休日!$A$4:$A$200))</f>
        <v/>
      </c>
      <c r="L17" s="8"/>
      <c r="M17" s="9" t="str">
        <f>IF(OR(F17="",I17=""),"",NETWORKDAYS.INTL(F17,I17-1,1,休日!$A$4:$A$200)-1)</f>
        <v/>
      </c>
      <c r="N17" s="9" t="str">
        <f>IF(OR(H17="",J17=""),"",NETWORKDAYS.INTL(H17,J17-1,1,休日!$A$4:$A$200)-1)</f>
        <v/>
      </c>
      <c r="P17" s="8"/>
      <c r="Q17" s="9" t="str">
        <f t="shared" si="0"/>
        <v/>
      </c>
    </row>
    <row r="18" spans="1:17" x14ac:dyDescent="0.2">
      <c r="A18" s="8"/>
      <c r="B18" s="8"/>
      <c r="C18" s="8"/>
      <c r="D18" s="8"/>
      <c r="E18" s="8"/>
      <c r="H18" s="6" t="str">
        <f>IF(OR(F18="",G18=""),"",WORKDAY.INTL(F18,G18-1,1,休日!$A$4:$A$200))</f>
        <v/>
      </c>
      <c r="L18" s="8"/>
      <c r="M18" s="9" t="str">
        <f>IF(OR(F18="",I18=""),"",NETWORKDAYS.INTL(F18,I18-1,1,休日!$A$4:$A$200)-1)</f>
        <v/>
      </c>
      <c r="N18" s="9" t="str">
        <f>IF(OR(H18="",J18=""),"",NETWORKDAYS.INTL(H18,J18-1,1,休日!$A$4:$A$200)-1)</f>
        <v/>
      </c>
      <c r="P18" s="8"/>
      <c r="Q18" s="9" t="str">
        <f t="shared" si="0"/>
        <v/>
      </c>
    </row>
    <row r="19" spans="1:17" x14ac:dyDescent="0.2">
      <c r="A19" s="8"/>
      <c r="B19" s="8"/>
      <c r="C19" s="8"/>
      <c r="D19" s="8"/>
      <c r="E19" s="8"/>
      <c r="H19" s="6" t="str">
        <f>IF(OR(F19="",G19=""),"",WORKDAY.INTL(F19,G19-1,1,休日!$A$4:$A$200))</f>
        <v/>
      </c>
      <c r="L19" s="8"/>
      <c r="M19" s="9" t="str">
        <f>IF(OR(F19="",I19=""),"",NETWORKDAYS.INTL(F19,I19-1,1,休日!$A$4:$A$200)-1)</f>
        <v/>
      </c>
      <c r="N19" s="9" t="str">
        <f>IF(OR(H19="",J19=""),"",NETWORKDAYS.INTL(H19,J19-1,1,休日!$A$4:$A$200)-1)</f>
        <v/>
      </c>
      <c r="P19" s="8"/>
      <c r="Q19" s="9" t="str">
        <f t="shared" si="0"/>
        <v/>
      </c>
    </row>
    <row r="20" spans="1:17" x14ac:dyDescent="0.2">
      <c r="A20" s="8"/>
      <c r="B20" s="8"/>
      <c r="C20" s="8"/>
      <c r="D20" s="8"/>
      <c r="E20" s="8"/>
      <c r="H20" s="6" t="str">
        <f>IF(OR(F20="",G20=""),"",WORKDAY.INTL(F20,G20-1,1,休日!$A$4:$A$200))</f>
        <v/>
      </c>
      <c r="L20" s="8"/>
      <c r="M20" s="9" t="str">
        <f>IF(OR(F20="",I20=""),"",NETWORKDAYS.INTL(F20,I20-1,1,休日!$A$4:$A$200)-1)</f>
        <v/>
      </c>
      <c r="N20" s="9" t="str">
        <f>IF(OR(H20="",J20=""),"",NETWORKDAYS.INTL(H20,J20-1,1,休日!$A$4:$A$200)-1)</f>
        <v/>
      </c>
      <c r="P20" s="8"/>
      <c r="Q20" s="9" t="str">
        <f t="shared" si="0"/>
        <v/>
      </c>
    </row>
    <row r="21" spans="1:17" x14ac:dyDescent="0.2">
      <c r="A21" s="8"/>
      <c r="B21" s="8"/>
      <c r="C21" s="8"/>
      <c r="D21" s="8"/>
      <c r="E21" s="8"/>
      <c r="H21" s="6" t="str">
        <f>IF(OR(F21="",G21=""),"",WORKDAY.INTL(F21,G21-1,1,休日!$A$4:$A$200))</f>
        <v/>
      </c>
      <c r="L21" s="8"/>
      <c r="M21" s="9" t="str">
        <f>IF(OR(F21="",I21=""),"",NETWORKDAYS.INTL(F21,I21-1,1,休日!$A$4:$A$200)-1)</f>
        <v/>
      </c>
      <c r="N21" s="9" t="str">
        <f>IF(OR(H21="",J21=""),"",NETWORKDAYS.INTL(H21,J21-1,1,休日!$A$4:$A$200)-1)</f>
        <v/>
      </c>
      <c r="P21" s="8"/>
      <c r="Q21" s="9" t="str">
        <f t="shared" si="0"/>
        <v/>
      </c>
    </row>
    <row r="22" spans="1:17" x14ac:dyDescent="0.2">
      <c r="A22" s="8"/>
      <c r="B22" s="8"/>
      <c r="C22" s="8"/>
      <c r="D22" s="8"/>
      <c r="E22" s="8"/>
      <c r="H22" s="6" t="str">
        <f>IF(OR(F22="",G22=""),"",WORKDAY.INTL(F22,G22-1,1,休日!$A$4:$A$200))</f>
        <v/>
      </c>
      <c r="L22" s="8"/>
      <c r="M22" s="9" t="str">
        <f>IF(OR(F22="",I22=""),"",NETWORKDAYS.INTL(F22,I22-1,1,休日!$A$4:$A$200)-1)</f>
        <v/>
      </c>
      <c r="N22" s="9" t="str">
        <f>IF(OR(H22="",J22=""),"",NETWORKDAYS.INTL(H22,J22-1,1,休日!$A$4:$A$200)-1)</f>
        <v/>
      </c>
      <c r="P22" s="8"/>
      <c r="Q22" s="9" t="str">
        <f t="shared" si="0"/>
        <v/>
      </c>
    </row>
    <row r="23" spans="1:17" x14ac:dyDescent="0.2">
      <c r="A23" s="8"/>
      <c r="B23" s="8"/>
      <c r="C23" s="8"/>
      <c r="D23" s="8"/>
      <c r="E23" s="8"/>
      <c r="H23" s="6" t="str">
        <f>IF(OR(F23="",G23=""),"",WORKDAY.INTL(F23,G23-1,1,休日!$A$4:$A$200))</f>
        <v/>
      </c>
      <c r="L23" s="8"/>
      <c r="M23" s="9" t="str">
        <f>IF(OR(F23="",I23=""),"",NETWORKDAYS.INTL(F23,I23-1,1,休日!$A$4:$A$200)-1)</f>
        <v/>
      </c>
      <c r="N23" s="9" t="str">
        <f>IF(OR(H23="",J23=""),"",NETWORKDAYS.INTL(H23,J23-1,1,休日!$A$4:$A$200)-1)</f>
        <v/>
      </c>
      <c r="P23" s="8"/>
      <c r="Q23" s="9" t="str">
        <f t="shared" si="0"/>
        <v/>
      </c>
    </row>
    <row r="24" spans="1:17" x14ac:dyDescent="0.2">
      <c r="A24" s="8"/>
      <c r="B24" s="8"/>
      <c r="C24" s="8"/>
      <c r="D24" s="8"/>
      <c r="E24" s="8"/>
      <c r="H24" s="6" t="str">
        <f>IF(OR(F24="",G24=""),"",WORKDAY.INTL(F24,G24-1,1,休日!$A$4:$A$200))</f>
        <v/>
      </c>
      <c r="L24" s="8"/>
      <c r="M24" s="9" t="str">
        <f>IF(OR(F24="",I24=""),"",NETWORKDAYS.INTL(F24,I24-1,1,休日!$A$4:$A$200)-1)</f>
        <v/>
      </c>
      <c r="N24" s="9" t="str">
        <f>IF(OR(H24="",J24=""),"",NETWORKDAYS.INTL(H24,J24-1,1,休日!$A$4:$A$200)-1)</f>
        <v/>
      </c>
      <c r="P24" s="8"/>
      <c r="Q24" s="9" t="str">
        <f t="shared" si="0"/>
        <v/>
      </c>
    </row>
    <row r="25" spans="1:17" x14ac:dyDescent="0.2">
      <c r="A25" s="8"/>
      <c r="B25" s="8"/>
      <c r="C25" s="8"/>
      <c r="D25" s="8"/>
      <c r="E25" s="8"/>
      <c r="H25" s="6" t="str">
        <f>IF(OR(F25="",G25=""),"",WORKDAY.INTL(F25,G25-1,1,休日!$A$4:$A$200))</f>
        <v/>
      </c>
      <c r="L25" s="8"/>
      <c r="M25" s="9" t="str">
        <f>IF(OR(F25="",I25=""),"",NETWORKDAYS.INTL(F25,I25-1,1,休日!$A$4:$A$200)-1)</f>
        <v/>
      </c>
      <c r="N25" s="9" t="str">
        <f>IF(OR(H25="",J25=""),"",NETWORKDAYS.INTL(H25,J25-1,1,休日!$A$4:$A$200)-1)</f>
        <v/>
      </c>
      <c r="P25" s="8"/>
      <c r="Q25" s="9" t="str">
        <f t="shared" si="0"/>
        <v/>
      </c>
    </row>
    <row r="26" spans="1:17" x14ac:dyDescent="0.2">
      <c r="A26" s="8"/>
      <c r="B26" s="8"/>
      <c r="C26" s="8"/>
      <c r="D26" s="8"/>
      <c r="E26" s="8"/>
      <c r="H26" s="6" t="str">
        <f>IF(OR(F26="",G26=""),"",WORKDAY.INTL(F26,G26-1,1,休日!$A$4:$A$200))</f>
        <v/>
      </c>
      <c r="L26" s="8"/>
      <c r="M26" s="9" t="str">
        <f>IF(OR(F26="",I26=""),"",NETWORKDAYS.INTL(F26,I26-1,1,休日!$A$4:$A$200)-1)</f>
        <v/>
      </c>
      <c r="N26" s="9" t="str">
        <f>IF(OR(H26="",J26=""),"",NETWORKDAYS.INTL(H26,J26-1,1,休日!$A$4:$A$200)-1)</f>
        <v/>
      </c>
      <c r="P26" s="8"/>
      <c r="Q26" s="9" t="str">
        <f t="shared" si="0"/>
        <v/>
      </c>
    </row>
    <row r="27" spans="1:17" x14ac:dyDescent="0.2">
      <c r="A27" s="8"/>
      <c r="B27" s="8"/>
      <c r="C27" s="8"/>
      <c r="D27" s="8"/>
      <c r="E27" s="8"/>
      <c r="H27" s="6" t="str">
        <f>IF(OR(F27="",G27=""),"",WORKDAY.INTL(F27,G27-1,1,休日!$A$4:$A$200))</f>
        <v/>
      </c>
      <c r="L27" s="8"/>
      <c r="M27" s="9" t="str">
        <f>IF(OR(F27="",I27=""),"",NETWORKDAYS.INTL(F27,I27-1,1,休日!$A$4:$A$200)-1)</f>
        <v/>
      </c>
      <c r="N27" s="9" t="str">
        <f>IF(OR(H27="",J27=""),"",NETWORKDAYS.INTL(H27,J27-1,1,休日!$A$4:$A$200)-1)</f>
        <v/>
      </c>
      <c r="P27" s="8"/>
      <c r="Q27" s="9" t="str">
        <f t="shared" si="0"/>
        <v/>
      </c>
    </row>
    <row r="28" spans="1:17" x14ac:dyDescent="0.2">
      <c r="A28" s="8"/>
      <c r="B28" s="8"/>
      <c r="C28" s="8"/>
      <c r="D28" s="8"/>
      <c r="E28" s="8"/>
      <c r="H28" s="6" t="str">
        <f>IF(OR(F28="",G28=""),"",WORKDAY.INTL(F28,G28-1,1,休日!$A$4:$A$200))</f>
        <v/>
      </c>
      <c r="L28" s="8"/>
      <c r="M28" s="9" t="str">
        <f>IF(OR(F28="",I28=""),"",NETWORKDAYS.INTL(F28,I28-1,1,休日!$A$4:$A$200)-1)</f>
        <v/>
      </c>
      <c r="N28" s="9" t="str">
        <f>IF(OR(H28="",J28=""),"",NETWORKDAYS.INTL(H28,J28-1,1,休日!$A$4:$A$200)-1)</f>
        <v/>
      </c>
      <c r="P28" s="8"/>
      <c r="Q28" s="9" t="str">
        <f t="shared" si="0"/>
        <v/>
      </c>
    </row>
    <row r="29" spans="1:17" x14ac:dyDescent="0.2">
      <c r="A29" s="8"/>
      <c r="B29" s="8"/>
      <c r="C29" s="8"/>
      <c r="D29" s="8"/>
      <c r="E29" s="8"/>
      <c r="H29" s="6" t="str">
        <f>IF(OR(F29="",G29=""),"",WORKDAY.INTL(F29,G29-1,1,休日!$A$4:$A$200))</f>
        <v/>
      </c>
      <c r="L29" s="8"/>
      <c r="M29" s="9" t="str">
        <f>IF(OR(F29="",I29=""),"",NETWORKDAYS.INTL(F29,I29-1,1,休日!$A$4:$A$200)-1)</f>
        <v/>
      </c>
      <c r="N29" s="9" t="str">
        <f>IF(OR(H29="",J29=""),"",NETWORKDAYS.INTL(H29,J29-1,1,休日!$A$4:$A$200)-1)</f>
        <v/>
      </c>
      <c r="P29" s="8"/>
      <c r="Q29" s="9" t="str">
        <f t="shared" si="0"/>
        <v/>
      </c>
    </row>
    <row r="30" spans="1:17" x14ac:dyDescent="0.2">
      <c r="A30" s="8"/>
      <c r="B30" s="8"/>
      <c r="C30" s="8"/>
      <c r="D30" s="8"/>
      <c r="E30" s="8"/>
      <c r="H30" s="6" t="str">
        <f>IF(OR(F30="",G30=""),"",WORKDAY.INTL(F30,G30-1,1,休日!$A$4:$A$200))</f>
        <v/>
      </c>
      <c r="L30" s="8"/>
      <c r="M30" s="9" t="str">
        <f>IF(OR(F30="",I30=""),"",NETWORKDAYS.INTL(F30,I30-1,1,休日!$A$4:$A$200)-1)</f>
        <v/>
      </c>
      <c r="N30" s="9" t="str">
        <f>IF(OR(H30="",J30=""),"",NETWORKDAYS.INTL(H30,J30-1,1,休日!$A$4:$A$200)-1)</f>
        <v/>
      </c>
      <c r="P30" s="8"/>
      <c r="Q30" s="9" t="str">
        <f t="shared" si="0"/>
        <v/>
      </c>
    </row>
    <row r="31" spans="1:17" x14ac:dyDescent="0.2">
      <c r="A31" s="8"/>
      <c r="B31" s="8"/>
      <c r="C31" s="8"/>
      <c r="D31" s="8"/>
      <c r="E31" s="8"/>
      <c r="H31" s="6" t="str">
        <f>IF(OR(F31="",G31=""),"",WORKDAY.INTL(F31,G31-1,1,休日!$A$4:$A$200))</f>
        <v/>
      </c>
      <c r="L31" s="8"/>
      <c r="M31" s="9" t="str">
        <f>IF(OR(F31="",I31=""),"",NETWORKDAYS.INTL(F31,I31-1,1,休日!$A$4:$A$200)-1)</f>
        <v/>
      </c>
      <c r="N31" s="9" t="str">
        <f>IF(OR(H31="",J31=""),"",NETWORKDAYS.INTL(H31,J31-1,1,休日!$A$4:$A$200)-1)</f>
        <v/>
      </c>
      <c r="P31" s="8"/>
      <c r="Q31" s="9" t="str">
        <f t="shared" si="0"/>
        <v/>
      </c>
    </row>
    <row r="32" spans="1:17" x14ac:dyDescent="0.2">
      <c r="A32" s="8"/>
      <c r="B32" s="8"/>
      <c r="C32" s="8"/>
      <c r="D32" s="8"/>
      <c r="E32" s="8"/>
      <c r="H32" s="6" t="str">
        <f>IF(OR(F32="",G32=""),"",WORKDAY.INTL(F32,G32-1,1,休日!$A$4:$A$200))</f>
        <v/>
      </c>
      <c r="L32" s="8"/>
      <c r="M32" s="9" t="str">
        <f>IF(OR(F32="",I32=""),"",NETWORKDAYS.INTL(F32,I32-1,1,休日!$A$4:$A$200)-1)</f>
        <v/>
      </c>
      <c r="N32" s="9" t="str">
        <f>IF(OR(H32="",J32=""),"",NETWORKDAYS.INTL(H32,J32-1,1,休日!$A$4:$A$200)-1)</f>
        <v/>
      </c>
      <c r="P32" s="8"/>
      <c r="Q32" s="9" t="str">
        <f t="shared" si="0"/>
        <v/>
      </c>
    </row>
    <row r="33" spans="1:17" x14ac:dyDescent="0.2">
      <c r="A33" s="8"/>
      <c r="B33" s="8"/>
      <c r="C33" s="8"/>
      <c r="D33" s="8"/>
      <c r="E33" s="8"/>
      <c r="H33" s="6" t="str">
        <f>IF(OR(F33="",G33=""),"",WORKDAY.INTL(F33,G33-1,1,休日!$A$4:$A$200))</f>
        <v/>
      </c>
      <c r="L33" s="8"/>
      <c r="M33" s="9" t="str">
        <f>IF(OR(F33="",I33=""),"",NETWORKDAYS.INTL(F33,I33-1,1,休日!$A$4:$A$200)-1)</f>
        <v/>
      </c>
      <c r="N33" s="9" t="str">
        <f>IF(OR(H33="",J33=""),"",NETWORKDAYS.INTL(H33,J33-1,1,休日!$A$4:$A$200)-1)</f>
        <v/>
      </c>
      <c r="P33" s="8"/>
      <c r="Q33" s="9" t="str">
        <f t="shared" si="0"/>
        <v/>
      </c>
    </row>
    <row r="34" spans="1:17" x14ac:dyDescent="0.2">
      <c r="A34" s="8"/>
      <c r="B34" s="8"/>
      <c r="C34" s="8"/>
      <c r="D34" s="8"/>
      <c r="E34" s="8"/>
      <c r="H34" s="6" t="str">
        <f>IF(OR(F34="",G34=""),"",WORKDAY.INTL(F34,G34-1,1,休日!$A$4:$A$200))</f>
        <v/>
      </c>
      <c r="L34" s="8"/>
      <c r="M34" s="9" t="str">
        <f>IF(OR(F34="",I34=""),"",NETWORKDAYS.INTL(F34,I34-1,1,休日!$A$4:$A$200)-1)</f>
        <v/>
      </c>
      <c r="N34" s="9" t="str">
        <f>IF(OR(H34="",J34=""),"",NETWORKDAYS.INTL(H34,J34-1,1,休日!$A$4:$A$200)-1)</f>
        <v/>
      </c>
      <c r="P34" s="8"/>
      <c r="Q34" s="9" t="str">
        <f t="shared" si="0"/>
        <v/>
      </c>
    </row>
    <row r="35" spans="1:17" x14ac:dyDescent="0.2">
      <c r="A35" s="8"/>
      <c r="B35" s="8"/>
      <c r="C35" s="8"/>
      <c r="D35" s="8"/>
      <c r="E35" s="8"/>
      <c r="H35" s="6" t="str">
        <f>IF(OR(F35="",G35=""),"",WORKDAY.INTL(F35,G35-1,1,休日!$A$4:$A$200))</f>
        <v/>
      </c>
      <c r="L35" s="8"/>
      <c r="M35" s="9" t="str">
        <f>IF(OR(F35="",I35=""),"",NETWORKDAYS.INTL(F35,I35-1,1,休日!$A$4:$A$200)-1)</f>
        <v/>
      </c>
      <c r="N35" s="9" t="str">
        <f>IF(OR(H35="",J35=""),"",NETWORKDAYS.INTL(H35,J35-1,1,休日!$A$4:$A$200)-1)</f>
        <v/>
      </c>
      <c r="P35" s="8"/>
      <c r="Q35" s="9" t="str">
        <f t="shared" si="0"/>
        <v/>
      </c>
    </row>
    <row r="36" spans="1:17" x14ac:dyDescent="0.2">
      <c r="A36" s="8"/>
      <c r="B36" s="8"/>
      <c r="C36" s="8"/>
      <c r="D36" s="8"/>
      <c r="E36" s="8"/>
      <c r="H36" s="6" t="str">
        <f>IF(OR(F36="",G36=""),"",WORKDAY.INTL(F36,G36-1,1,休日!$A$4:$A$200))</f>
        <v/>
      </c>
      <c r="L36" s="8"/>
      <c r="M36" s="9" t="str">
        <f>IF(OR(F36="",I36=""),"",NETWORKDAYS.INTL(F36,I36-1,1,休日!$A$4:$A$200)-1)</f>
        <v/>
      </c>
      <c r="N36" s="9" t="str">
        <f>IF(OR(H36="",J36=""),"",NETWORKDAYS.INTL(H36,J36-1,1,休日!$A$4:$A$200)-1)</f>
        <v/>
      </c>
      <c r="P36" s="8"/>
      <c r="Q36" s="9" t="str">
        <f t="shared" si="0"/>
        <v/>
      </c>
    </row>
    <row r="37" spans="1:17" x14ac:dyDescent="0.2">
      <c r="A37" s="8"/>
      <c r="B37" s="8"/>
      <c r="C37" s="8"/>
      <c r="D37" s="8"/>
      <c r="E37" s="8"/>
      <c r="H37" s="6" t="str">
        <f>IF(OR(F37="",G37=""),"",WORKDAY.INTL(F37,G37-1,1,休日!$A$4:$A$200))</f>
        <v/>
      </c>
      <c r="L37" s="8"/>
      <c r="M37" s="9" t="str">
        <f>IF(OR(F37="",I37=""),"",NETWORKDAYS.INTL(F37,I37-1,1,休日!$A$4:$A$200)-1)</f>
        <v/>
      </c>
      <c r="N37" s="9" t="str">
        <f>IF(OR(H37="",J37=""),"",NETWORKDAYS.INTL(H37,J37-1,1,休日!$A$4:$A$200)-1)</f>
        <v/>
      </c>
      <c r="P37" s="8"/>
      <c r="Q37" s="9" t="str">
        <f t="shared" si="0"/>
        <v/>
      </c>
    </row>
    <row r="38" spans="1:17" x14ac:dyDescent="0.2">
      <c r="A38" s="8"/>
      <c r="B38" s="8"/>
      <c r="C38" s="8"/>
      <c r="D38" s="8"/>
      <c r="E38" s="8"/>
      <c r="H38" s="6" t="str">
        <f>IF(OR(F38="",G38=""),"",WORKDAY.INTL(F38,G38-1,1,休日!$A$4:$A$200))</f>
        <v/>
      </c>
      <c r="L38" s="8"/>
      <c r="M38" s="9" t="str">
        <f>IF(OR(F38="",I38=""),"",NETWORKDAYS.INTL(F38,I38-1,1,休日!$A$4:$A$200)-1)</f>
        <v/>
      </c>
      <c r="N38" s="9" t="str">
        <f>IF(OR(H38="",J38=""),"",NETWORKDAYS.INTL(H38,J38-1,1,休日!$A$4:$A$200)-1)</f>
        <v/>
      </c>
      <c r="P38" s="8"/>
      <c r="Q38" s="9" t="str">
        <f t="shared" si="0"/>
        <v/>
      </c>
    </row>
    <row r="39" spans="1:17" x14ac:dyDescent="0.2">
      <c r="A39" s="8"/>
      <c r="B39" s="8"/>
      <c r="C39" s="8"/>
      <c r="D39" s="8"/>
      <c r="E39" s="8"/>
      <c r="H39" s="6" t="str">
        <f>IF(OR(F39="",G39=""),"",WORKDAY.INTL(F39,G39-1,1,休日!$A$4:$A$200))</f>
        <v/>
      </c>
      <c r="L39" s="8"/>
      <c r="M39" s="9" t="str">
        <f>IF(OR(F39="",I39=""),"",NETWORKDAYS.INTL(F39,I39-1,1,休日!$A$4:$A$200)-1)</f>
        <v/>
      </c>
      <c r="N39" s="9" t="str">
        <f>IF(OR(H39="",J39=""),"",NETWORKDAYS.INTL(H39,J39-1,1,休日!$A$4:$A$200)-1)</f>
        <v/>
      </c>
      <c r="P39" s="8"/>
      <c r="Q39" s="9" t="str">
        <f t="shared" ref="Q39:Q70" si="2">IF(C39="","",IF(E39="マイルストーン","MILESTONE",IF(K39&gt;=1,"完了",IF(I39&lt;&gt;"","進行中","未着手"))))</f>
        <v/>
      </c>
    </row>
    <row r="40" spans="1:17" x14ac:dyDescent="0.2">
      <c r="A40" s="8"/>
      <c r="B40" s="8"/>
      <c r="C40" s="8"/>
      <c r="D40" s="8"/>
      <c r="E40" s="8"/>
      <c r="H40" s="6" t="str">
        <f>IF(OR(F40="",G40=""),"",WORKDAY.INTL(F40,G40-1,1,休日!$A$4:$A$200))</f>
        <v/>
      </c>
      <c r="L40" s="8"/>
      <c r="M40" s="9" t="str">
        <f>IF(OR(F40="",I40=""),"",NETWORKDAYS.INTL(F40,I40-1,1,休日!$A$4:$A$200)-1)</f>
        <v/>
      </c>
      <c r="N40" s="9" t="str">
        <f>IF(OR(H40="",J40=""),"",NETWORKDAYS.INTL(H40,J40-1,1,休日!$A$4:$A$200)-1)</f>
        <v/>
      </c>
      <c r="P40" s="8"/>
      <c r="Q40" s="9" t="str">
        <f t="shared" si="2"/>
        <v/>
      </c>
    </row>
    <row r="41" spans="1:17" x14ac:dyDescent="0.2">
      <c r="A41" s="8"/>
      <c r="B41" s="8"/>
      <c r="C41" s="8"/>
      <c r="D41" s="8"/>
      <c r="E41" s="8"/>
      <c r="H41" s="6" t="str">
        <f>IF(OR(F41="",G41=""),"",WORKDAY.INTL(F41,G41-1,1,休日!$A$4:$A$200))</f>
        <v/>
      </c>
      <c r="L41" s="8"/>
      <c r="M41" s="9" t="str">
        <f>IF(OR(F41="",I41=""),"",NETWORKDAYS.INTL(F41,I41-1,1,休日!$A$4:$A$200)-1)</f>
        <v/>
      </c>
      <c r="N41" s="9" t="str">
        <f>IF(OR(H41="",J41=""),"",NETWORKDAYS.INTL(H41,J41-1,1,休日!$A$4:$A$200)-1)</f>
        <v/>
      </c>
      <c r="P41" s="8"/>
      <c r="Q41" s="9" t="str">
        <f t="shared" si="2"/>
        <v/>
      </c>
    </row>
    <row r="42" spans="1:17" x14ac:dyDescent="0.2">
      <c r="A42" s="8"/>
      <c r="B42" s="8"/>
      <c r="C42" s="8"/>
      <c r="D42" s="8"/>
      <c r="E42" s="8"/>
      <c r="H42" s="6" t="str">
        <f>IF(OR(F42="",G42=""),"",WORKDAY.INTL(F42,G42-1,1,休日!$A$4:$A$200))</f>
        <v/>
      </c>
      <c r="L42" s="8"/>
      <c r="M42" s="9" t="str">
        <f>IF(OR(F42="",I42=""),"",NETWORKDAYS.INTL(F42,I42-1,1,休日!$A$4:$A$200)-1)</f>
        <v/>
      </c>
      <c r="N42" s="9" t="str">
        <f>IF(OR(H42="",J42=""),"",NETWORKDAYS.INTL(H42,J42-1,1,休日!$A$4:$A$200)-1)</f>
        <v/>
      </c>
      <c r="P42" s="8"/>
      <c r="Q42" s="9" t="str">
        <f t="shared" si="2"/>
        <v/>
      </c>
    </row>
    <row r="43" spans="1:17" x14ac:dyDescent="0.2">
      <c r="A43" s="8"/>
      <c r="B43" s="8"/>
      <c r="C43" s="8"/>
      <c r="D43" s="8"/>
      <c r="E43" s="8"/>
      <c r="H43" s="6" t="str">
        <f>IF(OR(F43="",G43=""),"",WORKDAY.INTL(F43,G43-1,1,休日!$A$4:$A$200))</f>
        <v/>
      </c>
      <c r="L43" s="8"/>
      <c r="M43" s="9" t="str">
        <f>IF(OR(F43="",I43=""),"",NETWORKDAYS.INTL(F43,I43-1,1,休日!$A$4:$A$200)-1)</f>
        <v/>
      </c>
      <c r="N43" s="9" t="str">
        <f>IF(OR(H43="",J43=""),"",NETWORKDAYS.INTL(H43,J43-1,1,休日!$A$4:$A$200)-1)</f>
        <v/>
      </c>
      <c r="P43" s="8"/>
      <c r="Q43" s="9" t="str">
        <f t="shared" si="2"/>
        <v/>
      </c>
    </row>
    <row r="44" spans="1:17" x14ac:dyDescent="0.2">
      <c r="A44" s="8"/>
      <c r="B44" s="8"/>
      <c r="C44" s="8"/>
      <c r="D44" s="8"/>
      <c r="E44" s="8"/>
      <c r="H44" s="6" t="str">
        <f>IF(OR(F44="",G44=""),"",WORKDAY.INTL(F44,G44-1,1,休日!$A$4:$A$200))</f>
        <v/>
      </c>
      <c r="L44" s="8"/>
      <c r="M44" s="9" t="str">
        <f>IF(OR(F44="",I44=""),"",NETWORKDAYS.INTL(F44,I44-1,1,休日!$A$4:$A$200)-1)</f>
        <v/>
      </c>
      <c r="N44" s="9" t="str">
        <f>IF(OR(H44="",J44=""),"",NETWORKDAYS.INTL(H44,J44-1,1,休日!$A$4:$A$200)-1)</f>
        <v/>
      </c>
      <c r="P44" s="8"/>
      <c r="Q44" s="9" t="str">
        <f t="shared" si="2"/>
        <v/>
      </c>
    </row>
    <row r="45" spans="1:17" x14ac:dyDescent="0.2">
      <c r="A45" s="8"/>
      <c r="B45" s="8"/>
      <c r="C45" s="8"/>
      <c r="D45" s="8"/>
      <c r="E45" s="8"/>
      <c r="H45" s="6" t="str">
        <f>IF(OR(F45="",G45=""),"",WORKDAY.INTL(F45,G45-1,1,休日!$A$4:$A$200))</f>
        <v/>
      </c>
      <c r="L45" s="8"/>
      <c r="M45" s="9" t="str">
        <f>IF(OR(F45="",I45=""),"",NETWORKDAYS.INTL(F45,I45-1,1,休日!$A$4:$A$200)-1)</f>
        <v/>
      </c>
      <c r="N45" s="9" t="str">
        <f>IF(OR(H45="",J45=""),"",NETWORKDAYS.INTL(H45,J45-1,1,休日!$A$4:$A$200)-1)</f>
        <v/>
      </c>
      <c r="P45" s="8"/>
      <c r="Q45" s="9" t="str">
        <f t="shared" si="2"/>
        <v/>
      </c>
    </row>
    <row r="46" spans="1:17" x14ac:dyDescent="0.2">
      <c r="A46" s="8"/>
      <c r="B46" s="8"/>
      <c r="C46" s="8"/>
      <c r="D46" s="8"/>
      <c r="E46" s="8"/>
      <c r="H46" s="6" t="str">
        <f>IF(OR(F46="",G46=""),"",WORKDAY.INTL(F46,G46-1,1,休日!$A$4:$A$200))</f>
        <v/>
      </c>
      <c r="L46" s="8"/>
      <c r="M46" s="9" t="str">
        <f>IF(OR(F46="",I46=""),"",NETWORKDAYS.INTL(F46,I46-1,1,休日!$A$4:$A$200)-1)</f>
        <v/>
      </c>
      <c r="N46" s="9" t="str">
        <f>IF(OR(H46="",J46=""),"",NETWORKDAYS.INTL(H46,J46-1,1,休日!$A$4:$A$200)-1)</f>
        <v/>
      </c>
      <c r="P46" s="8"/>
      <c r="Q46" s="9" t="str">
        <f t="shared" si="2"/>
        <v/>
      </c>
    </row>
    <row r="47" spans="1:17" x14ac:dyDescent="0.2">
      <c r="A47" s="8"/>
      <c r="B47" s="8"/>
      <c r="C47" s="8"/>
      <c r="D47" s="8"/>
      <c r="E47" s="8"/>
      <c r="H47" s="6" t="str">
        <f>IF(OR(F47="",G47=""),"",WORKDAY.INTL(F47,G47-1,1,休日!$A$4:$A$200))</f>
        <v/>
      </c>
      <c r="L47" s="8"/>
      <c r="M47" s="9" t="str">
        <f>IF(OR(F47="",I47=""),"",NETWORKDAYS.INTL(F47,I47-1,1,休日!$A$4:$A$200)-1)</f>
        <v/>
      </c>
      <c r="N47" s="9" t="str">
        <f>IF(OR(H47="",J47=""),"",NETWORKDAYS.INTL(H47,J47-1,1,休日!$A$4:$A$200)-1)</f>
        <v/>
      </c>
      <c r="P47" s="8"/>
      <c r="Q47" s="9" t="str">
        <f t="shared" si="2"/>
        <v/>
      </c>
    </row>
    <row r="48" spans="1:17" x14ac:dyDescent="0.2">
      <c r="A48" s="8"/>
      <c r="B48" s="8"/>
      <c r="C48" s="8"/>
      <c r="D48" s="8"/>
      <c r="E48" s="8"/>
      <c r="H48" s="6" t="str">
        <f>IF(OR(F48="",G48=""),"",WORKDAY.INTL(F48,G48-1,1,休日!$A$4:$A$200))</f>
        <v/>
      </c>
      <c r="L48" s="8"/>
      <c r="M48" s="9" t="str">
        <f>IF(OR(F48="",I48=""),"",NETWORKDAYS.INTL(F48,I48-1,1,休日!$A$4:$A$200)-1)</f>
        <v/>
      </c>
      <c r="N48" s="9" t="str">
        <f>IF(OR(H48="",J48=""),"",NETWORKDAYS.INTL(H48,J48-1,1,休日!$A$4:$A$200)-1)</f>
        <v/>
      </c>
      <c r="P48" s="8"/>
      <c r="Q48" s="9" t="str">
        <f t="shared" si="2"/>
        <v/>
      </c>
    </row>
    <row r="49" spans="1:17" x14ac:dyDescent="0.2">
      <c r="A49" s="8"/>
      <c r="B49" s="8"/>
      <c r="C49" s="8"/>
      <c r="D49" s="8"/>
      <c r="E49" s="8"/>
      <c r="H49" s="6" t="str">
        <f>IF(OR(F49="",G49=""),"",WORKDAY.INTL(F49,G49-1,1,休日!$A$4:$A$200))</f>
        <v/>
      </c>
      <c r="L49" s="8"/>
      <c r="M49" s="9" t="str">
        <f>IF(OR(F49="",I49=""),"",NETWORKDAYS.INTL(F49,I49-1,1,休日!$A$4:$A$200)-1)</f>
        <v/>
      </c>
      <c r="N49" s="9" t="str">
        <f>IF(OR(H49="",J49=""),"",NETWORKDAYS.INTL(H49,J49-1,1,休日!$A$4:$A$200)-1)</f>
        <v/>
      </c>
      <c r="P49" s="8"/>
      <c r="Q49" s="9" t="str">
        <f t="shared" si="2"/>
        <v/>
      </c>
    </row>
    <row r="50" spans="1:17" x14ac:dyDescent="0.2">
      <c r="A50" s="8"/>
      <c r="B50" s="8"/>
      <c r="C50" s="8"/>
      <c r="D50" s="8"/>
      <c r="E50" s="8"/>
      <c r="H50" s="6" t="str">
        <f>IF(OR(F50="",G50=""),"",WORKDAY.INTL(F50,G50-1,1,休日!$A$4:$A$200))</f>
        <v/>
      </c>
      <c r="L50" s="8"/>
      <c r="M50" s="9" t="str">
        <f>IF(OR(F50="",I50=""),"",NETWORKDAYS.INTL(F50,I50-1,1,休日!$A$4:$A$200)-1)</f>
        <v/>
      </c>
      <c r="N50" s="9" t="str">
        <f>IF(OR(H50="",J50=""),"",NETWORKDAYS.INTL(H50,J50-1,1,休日!$A$4:$A$200)-1)</f>
        <v/>
      </c>
      <c r="P50" s="8"/>
      <c r="Q50" s="9" t="str">
        <f t="shared" si="2"/>
        <v/>
      </c>
    </row>
    <row r="51" spans="1:17" x14ac:dyDescent="0.2">
      <c r="A51" s="8"/>
      <c r="B51" s="8"/>
      <c r="C51" s="8"/>
      <c r="D51" s="8"/>
      <c r="E51" s="8"/>
      <c r="H51" s="6" t="str">
        <f>IF(OR(F51="",G51=""),"",WORKDAY.INTL(F51,G51-1,1,休日!$A$4:$A$200))</f>
        <v/>
      </c>
      <c r="L51" s="8"/>
      <c r="M51" s="9" t="str">
        <f>IF(OR(F51="",I51=""),"",NETWORKDAYS.INTL(F51,I51-1,1,休日!$A$4:$A$200)-1)</f>
        <v/>
      </c>
      <c r="N51" s="9" t="str">
        <f>IF(OR(H51="",J51=""),"",NETWORKDAYS.INTL(H51,J51-1,1,休日!$A$4:$A$200)-1)</f>
        <v/>
      </c>
      <c r="P51" s="8"/>
      <c r="Q51" s="9" t="str">
        <f t="shared" si="2"/>
        <v/>
      </c>
    </row>
    <row r="52" spans="1:17" x14ac:dyDescent="0.2">
      <c r="A52" s="8"/>
      <c r="B52" s="8"/>
      <c r="C52" s="8"/>
      <c r="D52" s="8"/>
      <c r="E52" s="8"/>
      <c r="H52" s="6" t="str">
        <f>IF(OR(F52="",G52=""),"",WORKDAY.INTL(F52,G52-1,1,休日!$A$4:$A$200))</f>
        <v/>
      </c>
      <c r="L52" s="8"/>
      <c r="M52" s="9" t="str">
        <f>IF(OR(F52="",I52=""),"",NETWORKDAYS.INTL(F52,I52-1,1,休日!$A$4:$A$200)-1)</f>
        <v/>
      </c>
      <c r="N52" s="9" t="str">
        <f>IF(OR(H52="",J52=""),"",NETWORKDAYS.INTL(H52,J52-1,1,休日!$A$4:$A$200)-1)</f>
        <v/>
      </c>
      <c r="P52" s="8"/>
      <c r="Q52" s="9" t="str">
        <f t="shared" si="2"/>
        <v/>
      </c>
    </row>
    <row r="53" spans="1:17" x14ac:dyDescent="0.2">
      <c r="A53" s="8"/>
      <c r="B53" s="8"/>
      <c r="C53" s="8"/>
      <c r="D53" s="8"/>
      <c r="E53" s="8"/>
      <c r="H53" s="6" t="str">
        <f>IF(OR(F53="",G53=""),"",WORKDAY.INTL(F53,G53-1,1,休日!$A$4:$A$200))</f>
        <v/>
      </c>
      <c r="L53" s="8"/>
      <c r="M53" s="9" t="str">
        <f>IF(OR(F53="",I53=""),"",NETWORKDAYS.INTL(F53,I53-1,1,休日!$A$4:$A$200)-1)</f>
        <v/>
      </c>
      <c r="N53" s="9" t="str">
        <f>IF(OR(H53="",J53=""),"",NETWORKDAYS.INTL(H53,J53-1,1,休日!$A$4:$A$200)-1)</f>
        <v/>
      </c>
      <c r="P53" s="8"/>
      <c r="Q53" s="9" t="str">
        <f t="shared" si="2"/>
        <v/>
      </c>
    </row>
    <row r="54" spans="1:17" x14ac:dyDescent="0.2">
      <c r="A54" s="8"/>
      <c r="B54" s="8"/>
      <c r="C54" s="8"/>
      <c r="D54" s="8"/>
      <c r="E54" s="8"/>
      <c r="H54" s="6" t="str">
        <f>IF(OR(F54="",G54=""),"",WORKDAY.INTL(F54,G54-1,1,休日!$A$4:$A$200))</f>
        <v/>
      </c>
      <c r="L54" s="8"/>
      <c r="M54" s="9" t="str">
        <f>IF(OR(F54="",I54=""),"",NETWORKDAYS.INTL(F54,I54-1,1,休日!$A$4:$A$200)-1)</f>
        <v/>
      </c>
      <c r="N54" s="9" t="str">
        <f>IF(OR(H54="",J54=""),"",NETWORKDAYS.INTL(H54,J54-1,1,休日!$A$4:$A$200)-1)</f>
        <v/>
      </c>
      <c r="P54" s="8"/>
      <c r="Q54" s="9" t="str">
        <f t="shared" si="2"/>
        <v/>
      </c>
    </row>
    <row r="55" spans="1:17" x14ac:dyDescent="0.2">
      <c r="A55" s="8"/>
      <c r="B55" s="8"/>
      <c r="C55" s="8"/>
      <c r="D55" s="8"/>
      <c r="E55" s="8"/>
      <c r="H55" s="6" t="str">
        <f>IF(OR(F55="",G55=""),"",WORKDAY.INTL(F55,G55-1,1,休日!$A$4:$A$200))</f>
        <v/>
      </c>
      <c r="L55" s="8"/>
      <c r="M55" s="9" t="str">
        <f>IF(OR(F55="",I55=""),"",NETWORKDAYS.INTL(F55,I55-1,1,休日!$A$4:$A$200)-1)</f>
        <v/>
      </c>
      <c r="N55" s="9" t="str">
        <f>IF(OR(H55="",J55=""),"",NETWORKDAYS.INTL(H55,J55-1,1,休日!$A$4:$A$200)-1)</f>
        <v/>
      </c>
      <c r="P55" s="8"/>
      <c r="Q55" s="9" t="str">
        <f t="shared" si="2"/>
        <v/>
      </c>
    </row>
    <row r="56" spans="1:17" x14ac:dyDescent="0.2">
      <c r="A56" s="8"/>
      <c r="B56" s="8"/>
      <c r="C56" s="8"/>
      <c r="D56" s="8"/>
      <c r="E56" s="8"/>
      <c r="H56" s="6" t="str">
        <f>IF(OR(F56="",G56=""),"",WORKDAY.INTL(F56,G56-1,1,休日!$A$4:$A$200))</f>
        <v/>
      </c>
      <c r="L56" s="8"/>
      <c r="M56" s="9" t="str">
        <f>IF(OR(F56="",I56=""),"",NETWORKDAYS.INTL(F56,I56-1,1,休日!$A$4:$A$200)-1)</f>
        <v/>
      </c>
      <c r="N56" s="9" t="str">
        <f>IF(OR(H56="",J56=""),"",NETWORKDAYS.INTL(H56,J56-1,1,休日!$A$4:$A$200)-1)</f>
        <v/>
      </c>
      <c r="P56" s="8"/>
      <c r="Q56" s="9" t="str">
        <f t="shared" si="2"/>
        <v/>
      </c>
    </row>
    <row r="57" spans="1:17" x14ac:dyDescent="0.2">
      <c r="A57" s="8"/>
      <c r="B57" s="8"/>
      <c r="C57" s="8"/>
      <c r="D57" s="8"/>
      <c r="E57" s="8"/>
      <c r="H57" s="6" t="str">
        <f>IF(OR(F57="",G57=""),"",WORKDAY.INTL(F57,G57-1,1,休日!$A$4:$A$200))</f>
        <v/>
      </c>
      <c r="L57" s="8"/>
      <c r="M57" s="9" t="str">
        <f>IF(OR(F57="",I57=""),"",NETWORKDAYS.INTL(F57,I57-1,1,休日!$A$4:$A$200)-1)</f>
        <v/>
      </c>
      <c r="N57" s="9" t="str">
        <f>IF(OR(H57="",J57=""),"",NETWORKDAYS.INTL(H57,J57-1,1,休日!$A$4:$A$200)-1)</f>
        <v/>
      </c>
      <c r="P57" s="8"/>
      <c r="Q57" s="9" t="str">
        <f t="shared" si="2"/>
        <v/>
      </c>
    </row>
    <row r="58" spans="1:17" x14ac:dyDescent="0.2">
      <c r="A58" s="8"/>
      <c r="B58" s="8"/>
      <c r="C58" s="8"/>
      <c r="D58" s="8"/>
      <c r="E58" s="8"/>
      <c r="H58" s="6" t="str">
        <f>IF(OR(F58="",G58=""),"",WORKDAY.INTL(F58,G58-1,1,休日!$A$4:$A$200))</f>
        <v/>
      </c>
      <c r="L58" s="8"/>
      <c r="M58" s="9" t="str">
        <f>IF(OR(F58="",I58=""),"",NETWORKDAYS.INTL(F58,I58-1,1,休日!$A$4:$A$200)-1)</f>
        <v/>
      </c>
      <c r="N58" s="9" t="str">
        <f>IF(OR(H58="",J58=""),"",NETWORKDAYS.INTL(H58,J58-1,1,休日!$A$4:$A$200)-1)</f>
        <v/>
      </c>
      <c r="P58" s="8"/>
      <c r="Q58" s="9" t="str">
        <f t="shared" si="2"/>
        <v/>
      </c>
    </row>
    <row r="59" spans="1:17" x14ac:dyDescent="0.2">
      <c r="A59" s="8"/>
      <c r="B59" s="8"/>
      <c r="C59" s="8"/>
      <c r="D59" s="8"/>
      <c r="E59" s="8"/>
      <c r="H59" s="6" t="str">
        <f>IF(OR(F59="",G59=""),"",WORKDAY.INTL(F59,G59-1,1,休日!$A$4:$A$200))</f>
        <v/>
      </c>
      <c r="L59" s="8"/>
      <c r="M59" s="9" t="str">
        <f>IF(OR(F59="",I59=""),"",NETWORKDAYS.INTL(F59,I59-1,1,休日!$A$4:$A$200)-1)</f>
        <v/>
      </c>
      <c r="N59" s="9" t="str">
        <f>IF(OR(H59="",J59=""),"",NETWORKDAYS.INTL(H59,J59-1,1,休日!$A$4:$A$200)-1)</f>
        <v/>
      </c>
      <c r="P59" s="8"/>
      <c r="Q59" s="9" t="str">
        <f t="shared" si="2"/>
        <v/>
      </c>
    </row>
    <row r="60" spans="1:17" x14ac:dyDescent="0.2">
      <c r="A60" s="8"/>
      <c r="B60" s="8"/>
      <c r="C60" s="8"/>
      <c r="D60" s="8"/>
      <c r="E60" s="8"/>
      <c r="H60" s="6" t="str">
        <f>IF(OR(F60="",G60=""),"",WORKDAY.INTL(F60,G60-1,1,休日!$A$4:$A$200))</f>
        <v/>
      </c>
      <c r="L60" s="8"/>
      <c r="M60" s="9" t="str">
        <f>IF(OR(F60="",I60=""),"",NETWORKDAYS.INTL(F60,I60-1,1,休日!$A$4:$A$200)-1)</f>
        <v/>
      </c>
      <c r="N60" s="9" t="str">
        <f>IF(OR(H60="",J60=""),"",NETWORKDAYS.INTL(H60,J60-1,1,休日!$A$4:$A$200)-1)</f>
        <v/>
      </c>
      <c r="P60" s="8"/>
      <c r="Q60" s="9" t="str">
        <f t="shared" si="2"/>
        <v/>
      </c>
    </row>
    <row r="61" spans="1:17" x14ac:dyDescent="0.2">
      <c r="A61" s="8"/>
      <c r="B61" s="8"/>
      <c r="C61" s="8"/>
      <c r="D61" s="8"/>
      <c r="E61" s="8"/>
      <c r="H61" s="6" t="str">
        <f>IF(OR(F61="",G61=""),"",WORKDAY.INTL(F61,G61-1,1,休日!$A$4:$A$200))</f>
        <v/>
      </c>
      <c r="L61" s="8"/>
      <c r="M61" s="9" t="str">
        <f>IF(OR(F61="",I61=""),"",NETWORKDAYS.INTL(F61,I61-1,1,休日!$A$4:$A$200)-1)</f>
        <v/>
      </c>
      <c r="N61" s="9" t="str">
        <f>IF(OR(H61="",J61=""),"",NETWORKDAYS.INTL(H61,J61-1,1,休日!$A$4:$A$200)-1)</f>
        <v/>
      </c>
      <c r="P61" s="8"/>
      <c r="Q61" s="9" t="str">
        <f t="shared" si="2"/>
        <v/>
      </c>
    </row>
    <row r="62" spans="1:17" x14ac:dyDescent="0.2">
      <c r="A62" s="8"/>
      <c r="B62" s="8"/>
      <c r="C62" s="8"/>
      <c r="D62" s="8"/>
      <c r="E62" s="8"/>
      <c r="H62" s="6" t="str">
        <f>IF(OR(F62="",G62=""),"",WORKDAY.INTL(F62,G62-1,1,休日!$A$4:$A$200))</f>
        <v/>
      </c>
      <c r="L62" s="8"/>
      <c r="M62" s="9" t="str">
        <f>IF(OR(F62="",I62=""),"",NETWORKDAYS.INTL(F62,I62-1,1,休日!$A$4:$A$200)-1)</f>
        <v/>
      </c>
      <c r="N62" s="9" t="str">
        <f>IF(OR(H62="",J62=""),"",NETWORKDAYS.INTL(H62,J62-1,1,休日!$A$4:$A$200)-1)</f>
        <v/>
      </c>
      <c r="P62" s="8"/>
      <c r="Q62" s="9" t="str">
        <f t="shared" si="2"/>
        <v/>
      </c>
    </row>
    <row r="63" spans="1:17" x14ac:dyDescent="0.2">
      <c r="A63" s="8"/>
      <c r="B63" s="8"/>
      <c r="C63" s="8"/>
      <c r="D63" s="8"/>
      <c r="E63" s="8"/>
      <c r="H63" s="6" t="str">
        <f>IF(OR(F63="",G63=""),"",WORKDAY.INTL(F63,G63-1,1,休日!$A$4:$A$200))</f>
        <v/>
      </c>
      <c r="L63" s="8"/>
      <c r="M63" s="9" t="str">
        <f>IF(OR(F63="",I63=""),"",NETWORKDAYS.INTL(F63,I63-1,1,休日!$A$4:$A$200)-1)</f>
        <v/>
      </c>
      <c r="N63" s="9" t="str">
        <f>IF(OR(H63="",J63=""),"",NETWORKDAYS.INTL(H63,J63-1,1,休日!$A$4:$A$200)-1)</f>
        <v/>
      </c>
      <c r="P63" s="8"/>
      <c r="Q63" s="9" t="str">
        <f t="shared" si="2"/>
        <v/>
      </c>
    </row>
    <row r="64" spans="1:17" x14ac:dyDescent="0.2">
      <c r="A64" s="8"/>
      <c r="B64" s="8"/>
      <c r="C64" s="8"/>
      <c r="D64" s="8"/>
      <c r="E64" s="8"/>
      <c r="H64" s="6" t="str">
        <f>IF(OR(F64="",G64=""),"",WORKDAY.INTL(F64,G64-1,1,休日!$A$4:$A$200))</f>
        <v/>
      </c>
      <c r="L64" s="8"/>
      <c r="M64" s="9" t="str">
        <f>IF(OR(F64="",I64=""),"",NETWORKDAYS.INTL(F64,I64-1,1,休日!$A$4:$A$200)-1)</f>
        <v/>
      </c>
      <c r="N64" s="9" t="str">
        <f>IF(OR(H64="",J64=""),"",NETWORKDAYS.INTL(H64,J64-1,1,休日!$A$4:$A$200)-1)</f>
        <v/>
      </c>
      <c r="P64" s="8"/>
      <c r="Q64" s="9" t="str">
        <f t="shared" si="2"/>
        <v/>
      </c>
    </row>
    <row r="65" spans="1:17" x14ac:dyDescent="0.2">
      <c r="A65" s="8"/>
      <c r="B65" s="8"/>
      <c r="C65" s="8"/>
      <c r="D65" s="8"/>
      <c r="E65" s="8"/>
      <c r="H65" s="6" t="str">
        <f>IF(OR(F65="",G65=""),"",WORKDAY.INTL(F65,G65-1,1,休日!$A$4:$A$200))</f>
        <v/>
      </c>
      <c r="L65" s="8"/>
      <c r="M65" s="9" t="str">
        <f>IF(OR(F65="",I65=""),"",NETWORKDAYS.INTL(F65,I65-1,1,休日!$A$4:$A$200)-1)</f>
        <v/>
      </c>
      <c r="N65" s="9" t="str">
        <f>IF(OR(H65="",J65=""),"",NETWORKDAYS.INTL(H65,J65-1,1,休日!$A$4:$A$200)-1)</f>
        <v/>
      </c>
      <c r="P65" s="8"/>
      <c r="Q65" s="9" t="str">
        <f t="shared" si="2"/>
        <v/>
      </c>
    </row>
    <row r="66" spans="1:17" x14ac:dyDescent="0.2">
      <c r="A66" s="8"/>
      <c r="B66" s="8"/>
      <c r="C66" s="8"/>
      <c r="D66" s="8"/>
      <c r="E66" s="8"/>
      <c r="H66" s="6" t="str">
        <f>IF(OR(F66="",G66=""),"",WORKDAY.INTL(F66,G66-1,1,休日!$A$4:$A$200))</f>
        <v/>
      </c>
      <c r="L66" s="8"/>
      <c r="M66" s="9" t="str">
        <f>IF(OR(F66="",I66=""),"",NETWORKDAYS.INTL(F66,I66-1,1,休日!$A$4:$A$200)-1)</f>
        <v/>
      </c>
      <c r="N66" s="9" t="str">
        <f>IF(OR(H66="",J66=""),"",NETWORKDAYS.INTL(H66,J66-1,1,休日!$A$4:$A$200)-1)</f>
        <v/>
      </c>
      <c r="P66" s="8"/>
      <c r="Q66" s="9" t="str">
        <f t="shared" si="2"/>
        <v/>
      </c>
    </row>
    <row r="67" spans="1:17" x14ac:dyDescent="0.2">
      <c r="A67" s="8"/>
      <c r="B67" s="8"/>
      <c r="C67" s="8"/>
      <c r="D67" s="8"/>
      <c r="E67" s="8"/>
      <c r="H67" s="6" t="str">
        <f>IF(OR(F67="",G67=""),"",WORKDAY.INTL(F67,G67-1,1,休日!$A$4:$A$200))</f>
        <v/>
      </c>
      <c r="L67" s="8"/>
      <c r="M67" s="9" t="str">
        <f>IF(OR(F67="",I67=""),"",NETWORKDAYS.INTL(F67,I67-1,1,休日!$A$4:$A$200)-1)</f>
        <v/>
      </c>
      <c r="N67" s="9" t="str">
        <f>IF(OR(H67="",J67=""),"",NETWORKDAYS.INTL(H67,J67-1,1,休日!$A$4:$A$200)-1)</f>
        <v/>
      </c>
      <c r="P67" s="8"/>
      <c r="Q67" s="9" t="str">
        <f t="shared" si="2"/>
        <v/>
      </c>
    </row>
    <row r="68" spans="1:17" x14ac:dyDescent="0.2">
      <c r="A68" s="8"/>
      <c r="B68" s="8"/>
      <c r="C68" s="8"/>
      <c r="D68" s="8"/>
      <c r="E68" s="8"/>
      <c r="H68" s="6" t="str">
        <f>IF(OR(F68="",G68=""),"",WORKDAY.INTL(F68,G68-1,1,休日!$A$4:$A$200))</f>
        <v/>
      </c>
      <c r="L68" s="8"/>
      <c r="M68" s="9" t="str">
        <f>IF(OR(F68="",I68=""),"",NETWORKDAYS.INTL(F68,I68-1,1,休日!$A$4:$A$200)-1)</f>
        <v/>
      </c>
      <c r="N68" s="9" t="str">
        <f>IF(OR(H68="",J68=""),"",NETWORKDAYS.INTL(H68,J68-1,1,休日!$A$4:$A$200)-1)</f>
        <v/>
      </c>
      <c r="P68" s="8"/>
      <c r="Q68" s="9" t="str">
        <f t="shared" si="2"/>
        <v/>
      </c>
    </row>
    <row r="69" spans="1:17" x14ac:dyDescent="0.2">
      <c r="A69" s="8"/>
      <c r="B69" s="8"/>
      <c r="C69" s="8"/>
      <c r="D69" s="8"/>
      <c r="E69" s="8"/>
      <c r="H69" s="6" t="str">
        <f>IF(OR(F69="",G69=""),"",WORKDAY.INTL(F69,G69-1,1,休日!$A$4:$A$200))</f>
        <v/>
      </c>
      <c r="L69" s="8"/>
      <c r="M69" s="9" t="str">
        <f>IF(OR(F69="",I69=""),"",NETWORKDAYS.INTL(F69,I69-1,1,休日!$A$4:$A$200)-1)</f>
        <v/>
      </c>
      <c r="N69" s="9" t="str">
        <f>IF(OR(H69="",J69=""),"",NETWORKDAYS.INTL(H69,J69-1,1,休日!$A$4:$A$200)-1)</f>
        <v/>
      </c>
      <c r="P69" s="8"/>
      <c r="Q69" s="9" t="str">
        <f t="shared" si="2"/>
        <v/>
      </c>
    </row>
    <row r="70" spans="1:17" x14ac:dyDescent="0.2">
      <c r="A70" s="8"/>
      <c r="B70" s="8"/>
      <c r="C70" s="8"/>
      <c r="D70" s="8"/>
      <c r="E70" s="8"/>
      <c r="H70" s="6" t="str">
        <f>IF(OR(F70="",G70=""),"",WORKDAY.INTL(F70,G70-1,1,休日!$A$4:$A$200))</f>
        <v/>
      </c>
      <c r="L70" s="8"/>
      <c r="M70" s="9" t="str">
        <f>IF(OR(F70="",I70=""),"",NETWORKDAYS.INTL(F70,I70-1,1,休日!$A$4:$A$200)-1)</f>
        <v/>
      </c>
      <c r="N70" s="9" t="str">
        <f>IF(OR(H70="",J70=""),"",NETWORKDAYS.INTL(H70,J70-1,1,休日!$A$4:$A$200)-1)</f>
        <v/>
      </c>
      <c r="P70" s="8"/>
      <c r="Q70" s="9" t="str">
        <f t="shared" si="2"/>
        <v/>
      </c>
    </row>
    <row r="71" spans="1:17" x14ac:dyDescent="0.2">
      <c r="A71" s="8"/>
      <c r="B71" s="8"/>
      <c r="C71" s="8"/>
      <c r="D71" s="8"/>
      <c r="E71" s="8"/>
      <c r="H71" s="6" t="str">
        <f>IF(OR(F71="",G71=""),"",WORKDAY.INTL(F71,G71-1,1,休日!$A$4:$A$200))</f>
        <v/>
      </c>
      <c r="L71" s="8"/>
      <c r="M71" s="9" t="str">
        <f>IF(OR(F71="",I71=""),"",NETWORKDAYS.INTL(F71,I71-1,1,休日!$A$4:$A$200)-1)</f>
        <v/>
      </c>
      <c r="N71" s="9" t="str">
        <f>IF(OR(H71="",J71=""),"",NETWORKDAYS.INTL(H71,J71-1,1,休日!$A$4:$A$200)-1)</f>
        <v/>
      </c>
      <c r="P71" s="8"/>
      <c r="Q71" s="9" t="str">
        <f t="shared" ref="Q71:Q106" si="3">IF(C71="","",IF(E71="マイルストーン","MILESTONE",IF(K71&gt;=1,"完了",IF(I71&lt;&gt;"","進行中","未着手"))))</f>
        <v/>
      </c>
    </row>
    <row r="72" spans="1:17" x14ac:dyDescent="0.2">
      <c r="A72" s="8"/>
      <c r="B72" s="8"/>
      <c r="C72" s="8"/>
      <c r="D72" s="8"/>
      <c r="E72" s="8"/>
      <c r="H72" s="6" t="str">
        <f>IF(OR(F72="",G72=""),"",WORKDAY.INTL(F72,G72-1,1,休日!$A$4:$A$200))</f>
        <v/>
      </c>
      <c r="L72" s="8"/>
      <c r="M72" s="9" t="str">
        <f>IF(OR(F72="",I72=""),"",NETWORKDAYS.INTL(F72,I72-1,1,休日!$A$4:$A$200)-1)</f>
        <v/>
      </c>
      <c r="N72" s="9" t="str">
        <f>IF(OR(H72="",J72=""),"",NETWORKDAYS.INTL(H72,J72-1,1,休日!$A$4:$A$200)-1)</f>
        <v/>
      </c>
      <c r="P72" s="8"/>
      <c r="Q72" s="9" t="str">
        <f t="shared" si="3"/>
        <v/>
      </c>
    </row>
    <row r="73" spans="1:17" x14ac:dyDescent="0.2">
      <c r="A73" s="8"/>
      <c r="B73" s="8"/>
      <c r="C73" s="8"/>
      <c r="D73" s="8"/>
      <c r="E73" s="8"/>
      <c r="H73" s="6" t="str">
        <f>IF(OR(F73="",G73=""),"",WORKDAY.INTL(F73,G73-1,1,休日!$A$4:$A$200))</f>
        <v/>
      </c>
      <c r="L73" s="8"/>
      <c r="M73" s="9" t="str">
        <f>IF(OR(F73="",I73=""),"",NETWORKDAYS.INTL(F73,I73-1,1,休日!$A$4:$A$200)-1)</f>
        <v/>
      </c>
      <c r="N73" s="9" t="str">
        <f>IF(OR(H73="",J73=""),"",NETWORKDAYS.INTL(H73,J73-1,1,休日!$A$4:$A$200)-1)</f>
        <v/>
      </c>
      <c r="P73" s="8"/>
      <c r="Q73" s="9" t="str">
        <f t="shared" si="3"/>
        <v/>
      </c>
    </row>
    <row r="74" spans="1:17" x14ac:dyDescent="0.2">
      <c r="A74" s="8"/>
      <c r="B74" s="8"/>
      <c r="C74" s="8"/>
      <c r="D74" s="8"/>
      <c r="E74" s="8"/>
      <c r="H74" s="6" t="str">
        <f>IF(OR(F74="",G74=""),"",WORKDAY.INTL(F74,G74-1,1,休日!$A$4:$A$200))</f>
        <v/>
      </c>
      <c r="L74" s="8"/>
      <c r="M74" s="9" t="str">
        <f>IF(OR(F74="",I74=""),"",NETWORKDAYS.INTL(F74,I74-1,1,休日!$A$4:$A$200)-1)</f>
        <v/>
      </c>
      <c r="N74" s="9" t="str">
        <f>IF(OR(H74="",J74=""),"",NETWORKDAYS.INTL(H74,J74-1,1,休日!$A$4:$A$200)-1)</f>
        <v/>
      </c>
      <c r="P74" s="8"/>
      <c r="Q74" s="9" t="str">
        <f t="shared" si="3"/>
        <v/>
      </c>
    </row>
    <row r="75" spans="1:17" x14ac:dyDescent="0.2">
      <c r="A75" s="8"/>
      <c r="B75" s="8"/>
      <c r="C75" s="8"/>
      <c r="D75" s="8"/>
      <c r="E75" s="8"/>
      <c r="H75" s="6" t="str">
        <f>IF(OR(F75="",G75=""),"",WORKDAY.INTL(F75,G75-1,1,休日!$A$4:$A$200))</f>
        <v/>
      </c>
      <c r="L75" s="8"/>
      <c r="M75" s="9" t="str">
        <f>IF(OR(F75="",I75=""),"",NETWORKDAYS.INTL(F75,I75-1,1,休日!$A$4:$A$200)-1)</f>
        <v/>
      </c>
      <c r="N75" s="9" t="str">
        <f>IF(OR(H75="",J75=""),"",NETWORKDAYS.INTL(H75,J75-1,1,休日!$A$4:$A$200)-1)</f>
        <v/>
      </c>
      <c r="P75" s="8"/>
      <c r="Q75" s="9" t="str">
        <f t="shared" si="3"/>
        <v/>
      </c>
    </row>
    <row r="76" spans="1:17" x14ac:dyDescent="0.2">
      <c r="A76" s="8"/>
      <c r="B76" s="8"/>
      <c r="C76" s="8"/>
      <c r="D76" s="8"/>
      <c r="E76" s="8"/>
      <c r="H76" s="6" t="str">
        <f>IF(OR(F76="",G76=""),"",WORKDAY.INTL(F76,G76-1,1,休日!$A$4:$A$200))</f>
        <v/>
      </c>
      <c r="L76" s="8"/>
      <c r="M76" s="9" t="str">
        <f>IF(OR(F76="",I76=""),"",NETWORKDAYS.INTL(F76,I76-1,1,休日!$A$4:$A$200)-1)</f>
        <v/>
      </c>
      <c r="N76" s="9" t="str">
        <f>IF(OR(H76="",J76=""),"",NETWORKDAYS.INTL(H76,J76-1,1,休日!$A$4:$A$200)-1)</f>
        <v/>
      </c>
      <c r="P76" s="8"/>
      <c r="Q76" s="9" t="str">
        <f t="shared" si="3"/>
        <v/>
      </c>
    </row>
    <row r="77" spans="1:17" x14ac:dyDescent="0.2">
      <c r="A77" s="8"/>
      <c r="B77" s="8"/>
      <c r="C77" s="8"/>
      <c r="D77" s="8"/>
      <c r="E77" s="8"/>
      <c r="H77" s="6" t="str">
        <f>IF(OR(F77="",G77=""),"",WORKDAY.INTL(F77,G77-1,1,休日!$A$4:$A$200))</f>
        <v/>
      </c>
      <c r="L77" s="8"/>
      <c r="M77" s="9" t="str">
        <f>IF(OR(F77="",I77=""),"",NETWORKDAYS.INTL(F77,I77-1,1,休日!$A$4:$A$200)-1)</f>
        <v/>
      </c>
      <c r="N77" s="9" t="str">
        <f>IF(OR(H77="",J77=""),"",NETWORKDAYS.INTL(H77,J77-1,1,休日!$A$4:$A$200)-1)</f>
        <v/>
      </c>
      <c r="P77" s="8"/>
      <c r="Q77" s="9" t="str">
        <f t="shared" si="3"/>
        <v/>
      </c>
    </row>
    <row r="78" spans="1:17" x14ac:dyDescent="0.2">
      <c r="A78" s="8"/>
      <c r="B78" s="8"/>
      <c r="C78" s="8"/>
      <c r="D78" s="8"/>
      <c r="E78" s="8"/>
      <c r="H78" s="6" t="str">
        <f>IF(OR(F78="",G78=""),"",WORKDAY.INTL(F78,G78-1,1,休日!$A$4:$A$200))</f>
        <v/>
      </c>
      <c r="L78" s="8"/>
      <c r="M78" s="9" t="str">
        <f>IF(OR(F78="",I78=""),"",NETWORKDAYS.INTL(F78,I78-1,1,休日!$A$4:$A$200)-1)</f>
        <v/>
      </c>
      <c r="N78" s="9" t="str">
        <f>IF(OR(H78="",J78=""),"",NETWORKDAYS.INTL(H78,J78-1,1,休日!$A$4:$A$200)-1)</f>
        <v/>
      </c>
      <c r="P78" s="8"/>
      <c r="Q78" s="9" t="str">
        <f t="shared" si="3"/>
        <v/>
      </c>
    </row>
    <row r="79" spans="1:17" x14ac:dyDescent="0.2">
      <c r="A79" s="8"/>
      <c r="B79" s="8"/>
      <c r="C79" s="8"/>
      <c r="D79" s="8"/>
      <c r="E79" s="8"/>
      <c r="H79" s="6" t="str">
        <f>IF(OR(F79="",G79=""),"",WORKDAY.INTL(F79,G79-1,1,休日!$A$4:$A$200))</f>
        <v/>
      </c>
      <c r="L79" s="8"/>
      <c r="M79" s="9" t="str">
        <f>IF(OR(F79="",I79=""),"",NETWORKDAYS.INTL(F79,I79-1,1,休日!$A$4:$A$200)-1)</f>
        <v/>
      </c>
      <c r="N79" s="9" t="str">
        <f>IF(OR(H79="",J79=""),"",NETWORKDAYS.INTL(H79,J79-1,1,休日!$A$4:$A$200)-1)</f>
        <v/>
      </c>
      <c r="P79" s="8"/>
      <c r="Q79" s="9" t="str">
        <f t="shared" si="3"/>
        <v/>
      </c>
    </row>
    <row r="80" spans="1:17" x14ac:dyDescent="0.2">
      <c r="A80" s="8"/>
      <c r="B80" s="8"/>
      <c r="C80" s="8"/>
      <c r="D80" s="8"/>
      <c r="E80" s="8"/>
      <c r="H80" s="6" t="str">
        <f>IF(OR(F80="",G80=""),"",WORKDAY.INTL(F80,G80-1,1,休日!$A$4:$A$200))</f>
        <v/>
      </c>
      <c r="L80" s="8"/>
      <c r="M80" s="9" t="str">
        <f>IF(OR(F80="",I80=""),"",NETWORKDAYS.INTL(F80,I80-1,1,休日!$A$4:$A$200)-1)</f>
        <v/>
      </c>
      <c r="N80" s="9" t="str">
        <f>IF(OR(H80="",J80=""),"",NETWORKDAYS.INTL(H80,J80-1,1,休日!$A$4:$A$200)-1)</f>
        <v/>
      </c>
      <c r="P80" s="8"/>
      <c r="Q80" s="9" t="str">
        <f t="shared" si="3"/>
        <v/>
      </c>
    </row>
    <row r="81" spans="1:17" x14ac:dyDescent="0.2">
      <c r="A81" s="8"/>
      <c r="B81" s="8"/>
      <c r="C81" s="8"/>
      <c r="D81" s="8"/>
      <c r="E81" s="8"/>
      <c r="H81" s="6" t="str">
        <f>IF(OR(F81="",G81=""),"",WORKDAY.INTL(F81,G81-1,1,休日!$A$4:$A$200))</f>
        <v/>
      </c>
      <c r="L81" s="8"/>
      <c r="M81" s="9" t="str">
        <f>IF(OR(F81="",I81=""),"",NETWORKDAYS.INTL(F81,I81-1,1,休日!$A$4:$A$200)-1)</f>
        <v/>
      </c>
      <c r="N81" s="9" t="str">
        <f>IF(OR(H81="",J81=""),"",NETWORKDAYS.INTL(H81,J81-1,1,休日!$A$4:$A$200)-1)</f>
        <v/>
      </c>
      <c r="P81" s="8"/>
      <c r="Q81" s="9" t="str">
        <f t="shared" si="3"/>
        <v/>
      </c>
    </row>
    <row r="82" spans="1:17" x14ac:dyDescent="0.2">
      <c r="A82" s="8"/>
      <c r="B82" s="8"/>
      <c r="C82" s="8"/>
      <c r="D82" s="8"/>
      <c r="E82" s="8"/>
      <c r="H82" s="6" t="str">
        <f>IF(OR(F82="",G82=""),"",WORKDAY.INTL(F82,G82-1,1,休日!$A$4:$A$200))</f>
        <v/>
      </c>
      <c r="L82" s="8"/>
      <c r="M82" s="9" t="str">
        <f>IF(OR(F82="",I82=""),"",NETWORKDAYS.INTL(F82,I82-1,1,休日!$A$4:$A$200)-1)</f>
        <v/>
      </c>
      <c r="N82" s="9" t="str">
        <f>IF(OR(H82="",J82=""),"",NETWORKDAYS.INTL(H82,J82-1,1,休日!$A$4:$A$200)-1)</f>
        <v/>
      </c>
      <c r="P82" s="8"/>
      <c r="Q82" s="9" t="str">
        <f t="shared" si="3"/>
        <v/>
      </c>
    </row>
    <row r="83" spans="1:17" x14ac:dyDescent="0.2">
      <c r="A83" s="8"/>
      <c r="B83" s="8"/>
      <c r="C83" s="8"/>
      <c r="D83" s="8"/>
      <c r="E83" s="8"/>
      <c r="H83" s="6" t="str">
        <f>IF(OR(F83="",G83=""),"",WORKDAY.INTL(F83,G83-1,1,休日!$A$4:$A$200))</f>
        <v/>
      </c>
      <c r="L83" s="8"/>
      <c r="M83" s="9" t="str">
        <f>IF(OR(F83="",I83=""),"",NETWORKDAYS.INTL(F83,I83-1,1,休日!$A$4:$A$200)-1)</f>
        <v/>
      </c>
      <c r="N83" s="9" t="str">
        <f>IF(OR(H83="",J83=""),"",NETWORKDAYS.INTL(H83,J83-1,1,休日!$A$4:$A$200)-1)</f>
        <v/>
      </c>
      <c r="P83" s="8"/>
      <c r="Q83" s="9" t="str">
        <f t="shared" si="3"/>
        <v/>
      </c>
    </row>
    <row r="84" spans="1:17" x14ac:dyDescent="0.2">
      <c r="A84" s="8"/>
      <c r="B84" s="8"/>
      <c r="C84" s="8"/>
      <c r="D84" s="8"/>
      <c r="E84" s="8"/>
      <c r="H84" s="6" t="str">
        <f>IF(OR(F84="",G84=""),"",WORKDAY.INTL(F84,G84-1,1,休日!$A$4:$A$200))</f>
        <v/>
      </c>
      <c r="L84" s="8"/>
      <c r="M84" s="9" t="str">
        <f>IF(OR(F84="",I84=""),"",NETWORKDAYS.INTL(F84,I84-1,1,休日!$A$4:$A$200)-1)</f>
        <v/>
      </c>
      <c r="N84" s="9" t="str">
        <f>IF(OR(H84="",J84=""),"",NETWORKDAYS.INTL(H84,J84-1,1,休日!$A$4:$A$200)-1)</f>
        <v/>
      </c>
      <c r="P84" s="8"/>
      <c r="Q84" s="9" t="str">
        <f t="shared" si="3"/>
        <v/>
      </c>
    </row>
    <row r="85" spans="1:17" x14ac:dyDescent="0.2">
      <c r="A85" s="8"/>
      <c r="B85" s="8"/>
      <c r="C85" s="8"/>
      <c r="D85" s="8"/>
      <c r="E85" s="8"/>
      <c r="H85" s="6" t="str">
        <f>IF(OR(F85="",G85=""),"",WORKDAY.INTL(F85,G85-1,1,休日!$A$4:$A$200))</f>
        <v/>
      </c>
      <c r="L85" s="8"/>
      <c r="M85" s="9" t="str">
        <f>IF(OR(F85="",I85=""),"",NETWORKDAYS.INTL(F85,I85-1,1,休日!$A$4:$A$200)-1)</f>
        <v/>
      </c>
      <c r="N85" s="9" t="str">
        <f>IF(OR(H85="",J85=""),"",NETWORKDAYS.INTL(H85,J85-1,1,休日!$A$4:$A$200)-1)</f>
        <v/>
      </c>
      <c r="P85" s="8"/>
      <c r="Q85" s="9" t="str">
        <f t="shared" si="3"/>
        <v/>
      </c>
    </row>
    <row r="86" spans="1:17" x14ac:dyDescent="0.2">
      <c r="A86" s="8"/>
      <c r="B86" s="8"/>
      <c r="C86" s="8"/>
      <c r="D86" s="8"/>
      <c r="E86" s="8"/>
      <c r="H86" s="6" t="str">
        <f>IF(OR(F86="",G86=""),"",WORKDAY.INTL(F86,G86-1,1,休日!$A$4:$A$200))</f>
        <v/>
      </c>
      <c r="L86" s="8"/>
      <c r="M86" s="9" t="str">
        <f>IF(OR(F86="",I86=""),"",NETWORKDAYS.INTL(F86,I86-1,1,休日!$A$4:$A$200)-1)</f>
        <v/>
      </c>
      <c r="N86" s="9" t="str">
        <f>IF(OR(H86="",J86=""),"",NETWORKDAYS.INTL(H86,J86-1,1,休日!$A$4:$A$200)-1)</f>
        <v/>
      </c>
      <c r="P86" s="8"/>
      <c r="Q86" s="9" t="str">
        <f t="shared" si="3"/>
        <v/>
      </c>
    </row>
    <row r="87" spans="1:17" x14ac:dyDescent="0.2">
      <c r="A87" s="8"/>
      <c r="B87" s="8"/>
      <c r="C87" s="8"/>
      <c r="D87" s="8"/>
      <c r="E87" s="8"/>
      <c r="H87" s="6" t="str">
        <f>IF(OR(F87="",G87=""),"",WORKDAY.INTL(F87,G87-1,1,休日!$A$4:$A$200))</f>
        <v/>
      </c>
      <c r="L87" s="8"/>
      <c r="M87" s="9" t="str">
        <f>IF(OR(F87="",I87=""),"",NETWORKDAYS.INTL(F87,I87-1,1,休日!$A$4:$A$200)-1)</f>
        <v/>
      </c>
      <c r="N87" s="9" t="str">
        <f>IF(OR(H87="",J87=""),"",NETWORKDAYS.INTL(H87,J87-1,1,休日!$A$4:$A$200)-1)</f>
        <v/>
      </c>
      <c r="P87" s="8"/>
      <c r="Q87" s="9" t="str">
        <f t="shared" si="3"/>
        <v/>
      </c>
    </row>
    <row r="88" spans="1:17" x14ac:dyDescent="0.2">
      <c r="A88" s="8"/>
      <c r="B88" s="8"/>
      <c r="C88" s="8"/>
      <c r="D88" s="8"/>
      <c r="E88" s="8"/>
      <c r="H88" s="6" t="str">
        <f>IF(OR(F88="",G88=""),"",WORKDAY.INTL(F88,G88-1,1,休日!$A$4:$A$200))</f>
        <v/>
      </c>
      <c r="L88" s="8"/>
      <c r="M88" s="9" t="str">
        <f>IF(OR(F88="",I88=""),"",NETWORKDAYS.INTL(F88,I88-1,1,休日!$A$4:$A$200)-1)</f>
        <v/>
      </c>
      <c r="N88" s="9" t="str">
        <f>IF(OR(H88="",J88=""),"",NETWORKDAYS.INTL(H88,J88-1,1,休日!$A$4:$A$200)-1)</f>
        <v/>
      </c>
      <c r="P88" s="8"/>
      <c r="Q88" s="9" t="str">
        <f t="shared" si="3"/>
        <v/>
      </c>
    </row>
    <row r="89" spans="1:17" x14ac:dyDescent="0.2">
      <c r="A89" s="8"/>
      <c r="B89" s="8"/>
      <c r="C89" s="8"/>
      <c r="D89" s="8"/>
      <c r="E89" s="8"/>
      <c r="H89" s="6" t="str">
        <f>IF(OR(F89="",G89=""),"",WORKDAY.INTL(F89,G89-1,1,休日!$A$4:$A$200))</f>
        <v/>
      </c>
      <c r="L89" s="8"/>
      <c r="M89" s="9" t="str">
        <f>IF(OR(F89="",I89=""),"",NETWORKDAYS.INTL(F89,I89-1,1,休日!$A$4:$A$200)-1)</f>
        <v/>
      </c>
      <c r="N89" s="9" t="str">
        <f>IF(OR(H89="",J89=""),"",NETWORKDAYS.INTL(H89,J89-1,1,休日!$A$4:$A$200)-1)</f>
        <v/>
      </c>
      <c r="P89" s="8"/>
      <c r="Q89" s="9" t="str">
        <f t="shared" si="3"/>
        <v/>
      </c>
    </row>
    <row r="90" spans="1:17" x14ac:dyDescent="0.2">
      <c r="A90" s="8"/>
      <c r="B90" s="8"/>
      <c r="C90" s="8"/>
      <c r="D90" s="8"/>
      <c r="E90" s="8"/>
      <c r="H90" s="6" t="str">
        <f>IF(OR(F90="",G90=""),"",WORKDAY.INTL(F90,G90-1,1,休日!$A$4:$A$200))</f>
        <v/>
      </c>
      <c r="L90" s="8"/>
      <c r="M90" s="9" t="str">
        <f>IF(OR(F90="",I90=""),"",NETWORKDAYS.INTL(F90,I90-1,1,休日!$A$4:$A$200)-1)</f>
        <v/>
      </c>
      <c r="N90" s="9" t="str">
        <f>IF(OR(H90="",J90=""),"",NETWORKDAYS.INTL(H90,J90-1,1,休日!$A$4:$A$200)-1)</f>
        <v/>
      </c>
      <c r="P90" s="8"/>
      <c r="Q90" s="9" t="str">
        <f t="shared" si="3"/>
        <v/>
      </c>
    </row>
    <row r="91" spans="1:17" x14ac:dyDescent="0.2">
      <c r="A91" s="8"/>
      <c r="B91" s="8"/>
      <c r="C91" s="8"/>
      <c r="D91" s="8"/>
      <c r="E91" s="8"/>
      <c r="H91" s="6" t="str">
        <f>IF(OR(F91="",G91=""),"",WORKDAY.INTL(F91,G91-1,1,休日!$A$4:$A$200))</f>
        <v/>
      </c>
      <c r="L91" s="8"/>
      <c r="M91" s="9" t="str">
        <f>IF(OR(F91="",I91=""),"",NETWORKDAYS.INTL(F91,I91-1,1,休日!$A$4:$A$200)-1)</f>
        <v/>
      </c>
      <c r="N91" s="9" t="str">
        <f>IF(OR(H91="",J91=""),"",NETWORKDAYS.INTL(H91,J91-1,1,休日!$A$4:$A$200)-1)</f>
        <v/>
      </c>
      <c r="P91" s="8"/>
      <c r="Q91" s="9" t="str">
        <f t="shared" si="3"/>
        <v/>
      </c>
    </row>
    <row r="92" spans="1:17" x14ac:dyDescent="0.2">
      <c r="A92" s="8"/>
      <c r="B92" s="8"/>
      <c r="C92" s="8"/>
      <c r="D92" s="8"/>
      <c r="E92" s="8"/>
      <c r="H92" s="6" t="str">
        <f>IF(OR(F92="",G92=""),"",WORKDAY.INTL(F92,G92-1,1,休日!$A$4:$A$200))</f>
        <v/>
      </c>
      <c r="L92" s="8"/>
      <c r="M92" s="9" t="str">
        <f>IF(OR(F92="",I92=""),"",NETWORKDAYS.INTL(F92,I92-1,1,休日!$A$4:$A$200)-1)</f>
        <v/>
      </c>
      <c r="N92" s="9" t="str">
        <f>IF(OR(H92="",J92=""),"",NETWORKDAYS.INTL(H92,J92-1,1,休日!$A$4:$A$200)-1)</f>
        <v/>
      </c>
      <c r="P92" s="8"/>
      <c r="Q92" s="9" t="str">
        <f t="shared" si="3"/>
        <v/>
      </c>
    </row>
    <row r="93" spans="1:17" x14ac:dyDescent="0.2">
      <c r="A93" s="8"/>
      <c r="B93" s="8"/>
      <c r="C93" s="8"/>
      <c r="D93" s="8"/>
      <c r="E93" s="8"/>
      <c r="H93" s="6" t="str">
        <f>IF(OR(F93="",G93=""),"",WORKDAY.INTL(F93,G93-1,1,休日!$A$4:$A$200))</f>
        <v/>
      </c>
      <c r="L93" s="8"/>
      <c r="M93" s="9" t="str">
        <f>IF(OR(F93="",I93=""),"",NETWORKDAYS.INTL(F93,I93-1,1,休日!$A$4:$A$200)-1)</f>
        <v/>
      </c>
      <c r="N93" s="9" t="str">
        <f>IF(OR(H93="",J93=""),"",NETWORKDAYS.INTL(H93,J93-1,1,休日!$A$4:$A$200)-1)</f>
        <v/>
      </c>
      <c r="P93" s="8"/>
      <c r="Q93" s="9" t="str">
        <f t="shared" si="3"/>
        <v/>
      </c>
    </row>
    <row r="94" spans="1:17" x14ac:dyDescent="0.2">
      <c r="A94" s="8"/>
      <c r="B94" s="8"/>
      <c r="C94" s="8"/>
      <c r="D94" s="8"/>
      <c r="E94" s="8"/>
      <c r="H94" s="6" t="str">
        <f>IF(OR(F94="",G94=""),"",WORKDAY.INTL(F94,G94-1,1,休日!$A$4:$A$200))</f>
        <v/>
      </c>
      <c r="L94" s="8"/>
      <c r="M94" s="9" t="str">
        <f>IF(OR(F94="",I94=""),"",NETWORKDAYS.INTL(F94,I94-1,1,休日!$A$4:$A$200)-1)</f>
        <v/>
      </c>
      <c r="N94" s="9" t="str">
        <f>IF(OR(H94="",J94=""),"",NETWORKDAYS.INTL(H94,J94-1,1,休日!$A$4:$A$200)-1)</f>
        <v/>
      </c>
      <c r="P94" s="8"/>
      <c r="Q94" s="9" t="str">
        <f t="shared" si="3"/>
        <v/>
      </c>
    </row>
    <row r="95" spans="1:17" x14ac:dyDescent="0.2">
      <c r="A95" s="8"/>
      <c r="B95" s="8"/>
      <c r="C95" s="8"/>
      <c r="D95" s="8"/>
      <c r="E95" s="8"/>
      <c r="H95" s="6" t="str">
        <f>IF(OR(F95="",G95=""),"",WORKDAY.INTL(F95,G95-1,1,休日!$A$4:$A$200))</f>
        <v/>
      </c>
      <c r="L95" s="8"/>
      <c r="M95" s="9" t="str">
        <f>IF(OR(F95="",I95=""),"",NETWORKDAYS.INTL(F95,I95-1,1,休日!$A$4:$A$200)-1)</f>
        <v/>
      </c>
      <c r="N95" s="9" t="str">
        <f>IF(OR(H95="",J95=""),"",NETWORKDAYS.INTL(H95,J95-1,1,休日!$A$4:$A$200)-1)</f>
        <v/>
      </c>
      <c r="P95" s="8"/>
      <c r="Q95" s="9" t="str">
        <f t="shared" si="3"/>
        <v/>
      </c>
    </row>
    <row r="96" spans="1:17" x14ac:dyDescent="0.2">
      <c r="A96" s="8"/>
      <c r="B96" s="8"/>
      <c r="C96" s="8"/>
      <c r="D96" s="8"/>
      <c r="E96" s="8"/>
      <c r="H96" s="6" t="str">
        <f>IF(OR(F96="",G96=""),"",WORKDAY.INTL(F96,G96-1,1,休日!$A$4:$A$200))</f>
        <v/>
      </c>
      <c r="L96" s="8"/>
      <c r="M96" s="9" t="str">
        <f>IF(OR(F96="",I96=""),"",NETWORKDAYS.INTL(F96,I96-1,1,休日!$A$4:$A$200)-1)</f>
        <v/>
      </c>
      <c r="N96" s="9" t="str">
        <f>IF(OR(H96="",J96=""),"",NETWORKDAYS.INTL(H96,J96-1,1,休日!$A$4:$A$200)-1)</f>
        <v/>
      </c>
      <c r="P96" s="8"/>
      <c r="Q96" s="9" t="str">
        <f t="shared" si="3"/>
        <v/>
      </c>
    </row>
    <row r="97" spans="1:17" x14ac:dyDescent="0.2">
      <c r="A97" s="8"/>
      <c r="B97" s="8"/>
      <c r="C97" s="8"/>
      <c r="D97" s="8"/>
      <c r="E97" s="8"/>
      <c r="H97" s="6" t="str">
        <f>IF(OR(F97="",G97=""),"",WORKDAY.INTL(F97,G97-1,1,休日!$A$4:$A$200))</f>
        <v/>
      </c>
      <c r="L97" s="8"/>
      <c r="M97" s="9" t="str">
        <f>IF(OR(F97="",I97=""),"",NETWORKDAYS.INTL(F97,I97-1,1,休日!$A$4:$A$200)-1)</f>
        <v/>
      </c>
      <c r="N97" s="9" t="str">
        <f>IF(OR(H97="",J97=""),"",NETWORKDAYS.INTL(H97,J97-1,1,休日!$A$4:$A$200)-1)</f>
        <v/>
      </c>
      <c r="P97" s="8"/>
      <c r="Q97" s="9" t="str">
        <f t="shared" si="3"/>
        <v/>
      </c>
    </row>
    <row r="98" spans="1:17" x14ac:dyDescent="0.2">
      <c r="A98" s="8"/>
      <c r="B98" s="8"/>
      <c r="C98" s="8"/>
      <c r="D98" s="8"/>
      <c r="E98" s="8"/>
      <c r="H98" s="6" t="str">
        <f>IF(OR(F98="",G98=""),"",WORKDAY.INTL(F98,G98-1,1,休日!$A$4:$A$200))</f>
        <v/>
      </c>
      <c r="L98" s="8"/>
      <c r="M98" s="9" t="str">
        <f>IF(OR(F98="",I98=""),"",NETWORKDAYS.INTL(F98,I98-1,1,休日!$A$4:$A$200)-1)</f>
        <v/>
      </c>
      <c r="N98" s="9" t="str">
        <f>IF(OR(H98="",J98=""),"",NETWORKDAYS.INTL(H98,J98-1,1,休日!$A$4:$A$200)-1)</f>
        <v/>
      </c>
      <c r="P98" s="8"/>
      <c r="Q98" s="9" t="str">
        <f t="shared" si="3"/>
        <v/>
      </c>
    </row>
    <row r="99" spans="1:17" x14ac:dyDescent="0.2">
      <c r="A99" s="8"/>
      <c r="B99" s="8"/>
      <c r="C99" s="8"/>
      <c r="D99" s="8"/>
      <c r="E99" s="8"/>
      <c r="H99" s="6" t="str">
        <f>IF(OR(F99="",G99=""),"",WORKDAY.INTL(F99,G99-1,1,休日!$A$4:$A$200))</f>
        <v/>
      </c>
      <c r="L99" s="8"/>
      <c r="M99" s="9" t="str">
        <f>IF(OR(F99="",I99=""),"",NETWORKDAYS.INTL(F99,I99-1,1,休日!$A$4:$A$200)-1)</f>
        <v/>
      </c>
      <c r="N99" s="9" t="str">
        <f>IF(OR(H99="",J99=""),"",NETWORKDAYS.INTL(H99,J99-1,1,休日!$A$4:$A$200)-1)</f>
        <v/>
      </c>
      <c r="P99" s="8"/>
      <c r="Q99" s="9" t="str">
        <f t="shared" si="3"/>
        <v/>
      </c>
    </row>
    <row r="100" spans="1:17" x14ac:dyDescent="0.2">
      <c r="A100" s="8"/>
      <c r="B100" s="8"/>
      <c r="C100" s="8"/>
      <c r="D100" s="8"/>
      <c r="E100" s="8"/>
      <c r="H100" s="6" t="str">
        <f>IF(OR(F100="",G100=""),"",WORKDAY.INTL(F100,G100-1,1,休日!$A$4:$A$200))</f>
        <v/>
      </c>
      <c r="L100" s="8"/>
      <c r="M100" s="9" t="str">
        <f>IF(OR(F100="",I100=""),"",NETWORKDAYS.INTL(F100,I100-1,1,休日!$A$4:$A$200)-1)</f>
        <v/>
      </c>
      <c r="N100" s="9" t="str">
        <f>IF(OR(H100="",J100=""),"",NETWORKDAYS.INTL(H100,J100-1,1,休日!$A$4:$A$200)-1)</f>
        <v/>
      </c>
      <c r="P100" s="8"/>
      <c r="Q100" s="9" t="str">
        <f t="shared" si="3"/>
        <v/>
      </c>
    </row>
    <row r="101" spans="1:17" x14ac:dyDescent="0.2">
      <c r="A101" s="8"/>
      <c r="B101" s="8"/>
      <c r="C101" s="8"/>
      <c r="D101" s="8"/>
      <c r="E101" s="8"/>
      <c r="H101" s="6" t="str">
        <f>IF(OR(F101="",G101=""),"",WORKDAY.INTL(F101,G101-1,1,休日!$A$4:$A$200))</f>
        <v/>
      </c>
      <c r="L101" s="8"/>
      <c r="M101" s="9" t="str">
        <f>IF(OR(F101="",I101=""),"",NETWORKDAYS.INTL(F101,I101-1,1,休日!$A$4:$A$200)-1)</f>
        <v/>
      </c>
      <c r="N101" s="9" t="str">
        <f>IF(OR(H101="",J101=""),"",NETWORKDAYS.INTL(H101,J101-1,1,休日!$A$4:$A$200)-1)</f>
        <v/>
      </c>
      <c r="P101" s="8"/>
      <c r="Q101" s="9" t="str">
        <f t="shared" si="3"/>
        <v/>
      </c>
    </row>
    <row r="102" spans="1:17" x14ac:dyDescent="0.2">
      <c r="A102" s="8"/>
      <c r="B102" s="8"/>
      <c r="C102" s="8"/>
      <c r="D102" s="8"/>
      <c r="E102" s="8"/>
      <c r="H102" s="6" t="str">
        <f>IF(OR(F102="",G102=""),"",WORKDAY.INTL(F102,G102-1,1,休日!$A$4:$A$200))</f>
        <v/>
      </c>
      <c r="L102" s="8"/>
      <c r="M102" s="9" t="str">
        <f>IF(OR(F102="",I102=""),"",NETWORKDAYS.INTL(F102,I102-1,1,休日!$A$4:$A$200)-1)</f>
        <v/>
      </c>
      <c r="N102" s="9" t="str">
        <f>IF(OR(H102="",J102=""),"",NETWORKDAYS.INTL(H102,J102-1,1,休日!$A$4:$A$200)-1)</f>
        <v/>
      </c>
      <c r="P102" s="8"/>
      <c r="Q102" s="9" t="str">
        <f t="shared" si="3"/>
        <v/>
      </c>
    </row>
    <row r="103" spans="1:17" x14ac:dyDescent="0.2">
      <c r="A103" s="8"/>
      <c r="B103" s="8"/>
      <c r="C103" s="8"/>
      <c r="D103" s="8"/>
      <c r="E103" s="8"/>
      <c r="H103" s="6" t="str">
        <f>IF(OR(F103="",G103=""),"",WORKDAY.INTL(F103,G103-1,1,休日!$A$4:$A$200))</f>
        <v/>
      </c>
      <c r="L103" s="8"/>
      <c r="M103" s="9" t="str">
        <f>IF(OR(F103="",I103=""),"",NETWORKDAYS.INTL(F103,I103-1,1,休日!$A$4:$A$200)-1)</f>
        <v/>
      </c>
      <c r="N103" s="9" t="str">
        <f>IF(OR(H103="",J103=""),"",NETWORKDAYS.INTL(H103,J103-1,1,休日!$A$4:$A$200)-1)</f>
        <v/>
      </c>
      <c r="P103" s="8"/>
      <c r="Q103" s="9" t="str">
        <f t="shared" si="3"/>
        <v/>
      </c>
    </row>
    <row r="104" spans="1:17" x14ac:dyDescent="0.2">
      <c r="A104" s="8"/>
      <c r="B104" s="8"/>
      <c r="C104" s="8"/>
      <c r="D104" s="8"/>
      <c r="E104" s="8"/>
      <c r="H104" s="6" t="str">
        <f>IF(OR(F104="",G104=""),"",WORKDAY.INTL(F104,G104-1,1,休日!$A$4:$A$200))</f>
        <v/>
      </c>
      <c r="L104" s="8"/>
      <c r="M104" s="9" t="str">
        <f>IF(OR(F104="",I104=""),"",NETWORKDAYS.INTL(F104,I104-1,1,休日!$A$4:$A$200)-1)</f>
        <v/>
      </c>
      <c r="N104" s="9" t="str">
        <f>IF(OR(H104="",J104=""),"",NETWORKDAYS.INTL(H104,J104-1,1,休日!$A$4:$A$200)-1)</f>
        <v/>
      </c>
      <c r="P104" s="8"/>
      <c r="Q104" s="9" t="str">
        <f t="shared" si="3"/>
        <v/>
      </c>
    </row>
    <row r="105" spans="1:17" x14ac:dyDescent="0.2">
      <c r="A105" s="8"/>
      <c r="B105" s="8"/>
      <c r="C105" s="8"/>
      <c r="D105" s="8"/>
      <c r="E105" s="8"/>
      <c r="H105" s="6" t="str">
        <f>IF(OR(F105="",G105=""),"",WORKDAY.INTL(F105,G105-1,1,休日!$A$4:$A$200))</f>
        <v/>
      </c>
      <c r="L105" s="8"/>
      <c r="M105" s="9" t="str">
        <f>IF(OR(F105="",I105=""),"",NETWORKDAYS.INTL(F105,I105-1,1,休日!$A$4:$A$200)-1)</f>
        <v/>
      </c>
      <c r="N105" s="9" t="str">
        <f>IF(OR(H105="",J105=""),"",NETWORKDAYS.INTL(H105,J105-1,1,休日!$A$4:$A$200)-1)</f>
        <v/>
      </c>
      <c r="P105" s="8"/>
      <c r="Q105" s="9" t="str">
        <f t="shared" si="3"/>
        <v/>
      </c>
    </row>
    <row r="106" spans="1:17" x14ac:dyDescent="0.2">
      <c r="A106" s="8"/>
      <c r="B106" s="8"/>
      <c r="C106" s="8"/>
      <c r="D106" s="8"/>
      <c r="E106" s="8"/>
      <c r="H106" s="6" t="str">
        <f>IF(OR(F106="",G106=""),"",WORKDAY.INTL(F106,G106-1,1,休日!$A$4:$A$200))</f>
        <v/>
      </c>
      <c r="L106" s="8"/>
      <c r="M106" s="9" t="str">
        <f>IF(OR(F106="",I106=""),"",NETWORKDAYS.INTL(F106,I106-1,1,休日!$A$4:$A$200)-1)</f>
        <v/>
      </c>
      <c r="N106" s="9" t="str">
        <f>IF(OR(H106="",J106=""),"",NETWORKDAYS.INTL(H106,J106-1,1,休日!$A$4:$A$200)-1)</f>
        <v/>
      </c>
      <c r="P106" s="8"/>
      <c r="Q106" s="9" t="str">
        <f t="shared" si="3"/>
        <v/>
      </c>
    </row>
  </sheetData>
  <mergeCells count="2">
    <mergeCell ref="A1:Q1"/>
    <mergeCell ref="A2:Q2"/>
  </mergeCells>
  <phoneticPr fontId="7"/>
  <conditionalFormatting sqref="R6:NS106">
    <cfRule type="expression" dxfId="2" priority="1">
      <formula>AND(R$5&gt;=$F6,R$5&lt;=$H6,$C6&lt;&gt;"")</formula>
    </cfRule>
    <cfRule type="expression" dxfId="1" priority="2">
      <formula>AND(R$5&gt;=$I6,R$5&lt;=IF($J6="",TODAY(),$J6),$I6&lt;&gt;"")</formula>
    </cfRule>
    <cfRule type="expression" dxfId="0" priority="3">
      <formula>AND(R$5=TODAY(),$C6&lt;&gt;"")</formula>
    </cfRule>
  </conditionalFormatting>
  <dataValidations count="2">
    <dataValidation type="list" allowBlank="1" showInputMessage="1" showErrorMessage="1" sqref="E6:E106" xr:uid="{00000000-0002-0000-0000-000000000000}">
      <formula1>"フェーズ,タスク,マイルストーン"</formula1>
    </dataValidation>
    <dataValidation type="decimal" allowBlank="1" showInputMessage="1" showErrorMessage="1" sqref="K6:K106" xr:uid="{00000000-0002-0000-0000-000001000000}">
      <formula1>0</formula1>
      <formula2>1</formula2>
    </dataValidation>
  </dataValidations>
  <pageMargins left="0.7" right="0.7" top="0.75" bottom="0.75" header="0.3" footer="0.3"/>
  <pageSetup fitToHeight="0"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8"/>
  <sheetViews>
    <sheetView showGridLines="0" workbookViewId="0">
      <selection activeCell="B8" sqref="B8"/>
    </sheetView>
  </sheetViews>
  <sheetFormatPr defaultRowHeight="13" x14ac:dyDescent="0.2"/>
  <cols>
    <col min="1" max="1" width="18.7265625" customWidth="1"/>
    <col min="2" max="2" width="24.7265625" customWidth="1"/>
    <col min="4" max="4" width="85.7265625" customWidth="1"/>
  </cols>
  <sheetData>
    <row r="1" spans="1:4" ht="21" x14ac:dyDescent="0.3">
      <c r="A1" s="11" t="s">
        <v>0</v>
      </c>
    </row>
    <row r="3" spans="1:4" x14ac:dyDescent="0.2">
      <c r="A3" s="3" t="s">
        <v>1</v>
      </c>
      <c r="B3" t="s">
        <v>7</v>
      </c>
      <c r="D3" s="3" t="s">
        <v>10</v>
      </c>
    </row>
    <row r="4" spans="1:4" x14ac:dyDescent="0.2">
      <c r="A4" s="3" t="s">
        <v>2</v>
      </c>
      <c r="B4" s="12">
        <v>46296</v>
      </c>
      <c r="D4" t="s">
        <v>11</v>
      </c>
    </row>
    <row r="5" spans="1:4" x14ac:dyDescent="0.2">
      <c r="A5" s="3" t="s">
        <v>3</v>
      </c>
      <c r="B5" s="13">
        <v>46447</v>
      </c>
      <c r="D5" t="s">
        <v>12</v>
      </c>
    </row>
    <row r="6" spans="1:4" x14ac:dyDescent="0.2">
      <c r="A6" s="3" t="s">
        <v>4</v>
      </c>
      <c r="B6" t="s">
        <v>8</v>
      </c>
      <c r="D6" t="s">
        <v>13</v>
      </c>
    </row>
    <row r="7" spans="1:4" x14ac:dyDescent="0.2">
      <c r="A7" s="3" t="s">
        <v>5</v>
      </c>
      <c r="B7" s="12">
        <f ca="1">TODAY()</f>
        <v>46287</v>
      </c>
      <c r="D7" t="s">
        <v>14</v>
      </c>
    </row>
    <row r="8" spans="1:4" x14ac:dyDescent="0.2">
      <c r="A8" s="3" t="s">
        <v>6</v>
      </c>
      <c r="B8" t="s">
        <v>9</v>
      </c>
    </row>
  </sheetData>
  <phoneticPr fontId="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"/>
  <sheetViews>
    <sheetView showGridLines="0" workbookViewId="0">
      <pane ySplit="3" topLeftCell="A4" activePane="bottomLeft" state="frozen"/>
      <selection pane="bottomLeft"/>
    </sheetView>
  </sheetViews>
  <sheetFormatPr defaultRowHeight="13" x14ac:dyDescent="0.2"/>
  <cols>
    <col min="1" max="1" width="16.7265625" customWidth="1"/>
    <col min="2" max="2" width="24.7265625" customWidth="1"/>
  </cols>
  <sheetData>
    <row r="1" spans="1:2" ht="21" x14ac:dyDescent="0.3">
      <c r="A1" s="11" t="s">
        <v>15</v>
      </c>
    </row>
    <row r="3" spans="1:2" x14ac:dyDescent="0.2">
      <c r="A3" s="14" t="s">
        <v>16</v>
      </c>
      <c r="B3" s="14" t="s">
        <v>17</v>
      </c>
    </row>
    <row r="4" spans="1:2" x14ac:dyDescent="0.2">
      <c r="A4" s="15">
        <v>46307</v>
      </c>
      <c r="B4" s="9" t="s">
        <v>18</v>
      </c>
    </row>
    <row r="5" spans="1:2" x14ac:dyDescent="0.2">
      <c r="A5" s="15">
        <v>46329</v>
      </c>
      <c r="B5" s="9" t="s">
        <v>19</v>
      </c>
    </row>
    <row r="6" spans="1:2" x14ac:dyDescent="0.2">
      <c r="A6" s="15">
        <v>46349</v>
      </c>
      <c r="B6" s="9" t="s">
        <v>20</v>
      </c>
    </row>
  </sheetData>
  <phoneticPr fontId="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B14"/>
  <sheetViews>
    <sheetView showGridLines="0" tabSelected="1" workbookViewId="0"/>
  </sheetViews>
  <sheetFormatPr defaultRowHeight="13" x14ac:dyDescent="0.2"/>
  <cols>
    <col min="1" max="1" width="28.7265625" customWidth="1"/>
    <col min="2" max="2" width="18.7265625" customWidth="1"/>
  </cols>
  <sheetData>
    <row r="1" spans="1:2" ht="21" x14ac:dyDescent="0.3">
      <c r="A1" s="11" t="s">
        <v>65</v>
      </c>
    </row>
    <row r="3" spans="1:2" ht="16.5" x14ac:dyDescent="0.25">
      <c r="A3" s="3" t="s">
        <v>66</v>
      </c>
      <c r="B3" s="16">
        <f>COUNTIF(WBS!$C$6:$C$106,"&lt;&gt;")</f>
        <v>8</v>
      </c>
    </row>
    <row r="4" spans="1:2" ht="16.5" x14ac:dyDescent="0.25">
      <c r="A4" s="3" t="s">
        <v>67</v>
      </c>
      <c r="B4" s="16">
        <f>COUNTIF(WBS!$Q$6:$Q$106,"完了")</f>
        <v>0</v>
      </c>
    </row>
    <row r="5" spans="1:2" ht="16.5" x14ac:dyDescent="0.25">
      <c r="A5" s="3" t="s">
        <v>68</v>
      </c>
      <c r="B5" s="16">
        <f>COUNTIF(WBS!$Q$6:$Q$106,"進行中")</f>
        <v>1</v>
      </c>
    </row>
    <row r="6" spans="1:2" ht="16.5" x14ac:dyDescent="0.25">
      <c r="A6" s="3" t="s">
        <v>69</v>
      </c>
      <c r="B6" s="17">
        <f>IFERROR(AVERAGE(WBS!$K$6:$K$106),0)</f>
        <v>6.25E-2</v>
      </c>
    </row>
    <row r="7" spans="1:2" ht="16.5" x14ac:dyDescent="0.25">
      <c r="A7" s="3" t="s">
        <v>70</v>
      </c>
      <c r="B7" s="16">
        <f>COUNTIF(WBS!$N$6:$N$106,"&gt;0")</f>
        <v>0</v>
      </c>
    </row>
    <row r="8" spans="1:2" ht="16.5" x14ac:dyDescent="0.25">
      <c r="A8" s="3" t="s">
        <v>71</v>
      </c>
      <c r="B8" s="16">
        <f>SUM(WBS!$O$6:$O$106)</f>
        <v>9</v>
      </c>
    </row>
    <row r="11" spans="1:2" x14ac:dyDescent="0.2">
      <c r="A11" s="3" t="s">
        <v>72</v>
      </c>
    </row>
    <row r="12" spans="1:2" x14ac:dyDescent="0.2">
      <c r="A12" t="s">
        <v>73</v>
      </c>
      <c r="B12" s="18"/>
    </row>
    <row r="13" spans="1:2" x14ac:dyDescent="0.2">
      <c r="A13" t="s">
        <v>74</v>
      </c>
      <c r="B13" s="19"/>
    </row>
    <row r="14" spans="1:2" x14ac:dyDescent="0.2">
      <c r="A14" t="s">
        <v>75</v>
      </c>
      <c r="B14" s="20"/>
    </row>
  </sheetData>
  <phoneticPr fontId="7"/>
  <pageMargins left="0.7" right="0.7" top="0.75" bottom="0.75" header="0.3" footer="0.3"/>
  <pageSetup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WBS</vt:lpstr>
      <vt:lpstr>設定</vt:lpstr>
      <vt:lpstr>休日</vt:lpstr>
      <vt:lpstr>集計</vt:lpstr>
      <vt:lpstr>WBS!Print_Titles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開発マイルストーン WBS</dc:title>
  <dc:subject>ガントチャート・カミナリ戦・予定実績・休日・マイルストーン</dc:subject>
  <dc:creator>中村修介</dc:creator>
  <cp:lastModifiedBy>修介 中村</cp:lastModifiedBy>
  <dcterms:created xsi:type="dcterms:W3CDTF">2026-09-22T00:00:07Z</dcterms:created>
  <dcterms:modified xsi:type="dcterms:W3CDTF">2026-09-22T06:14:21Z</dcterms:modified>
</cp:coreProperties>
</file>