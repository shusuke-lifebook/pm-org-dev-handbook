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BS" sheetId="1" r:id="rId1"/>
    <sheet name="設定" sheetId="2" r:id="rId2"/>
    <sheet name="休日" sheetId="3" r:id="rId3"/>
    <sheet name="集計" sheetId="4" r:id="rId4"/>
  </sheets>
  <definedNames>
    <definedName name="_xlnm.Print_Titles" localSheetId="0">WBS!$1:$5</definedName>
  </definedNames>
  <calcPr calcId="124519" fullCalcOnLoad="1"/>
</workbook>
</file>

<file path=xl/sharedStrings.xml><?xml version="1.0" encoding="utf-8"?>
<sst xmlns="http://schemas.openxmlformats.org/spreadsheetml/2006/main" count="106" uniqueCount="73">
  <si>
    <t>開発マイルストーン WBS</t>
  </si>
  <si>
    <t>プロジェクト名</t>
  </si>
  <si>
    <t>基準日</t>
  </si>
  <si>
    <t>ガント表示日数</t>
  </si>
  <si>
    <t>週末設定</t>
  </si>
  <si>
    <t>今日の日付</t>
  </si>
  <si>
    <t>サンプル開発プロジェクト</t>
  </si>
  <si>
    <t>土日休み</t>
  </si>
  <si>
    <t>操作</t>
  </si>
  <si>
    <t>入力後、VBAの RefreshWBS を実行するとガント・終了日・遅れが再計算されます。</t>
  </si>
  <si>
    <t>VBAの AddWBSRow で入力行を追加できます。</t>
  </si>
  <si>
    <t>休日シートに日付を追加すると、予定終了日から除外されます。</t>
  </si>
  <si>
    <t>休日管理</t>
  </si>
  <si>
    <t>休日</t>
  </si>
  <si>
    <t>名称</t>
  </si>
  <si>
    <t>スポーツの日</t>
  </si>
  <si>
    <t>文化の日</t>
  </si>
  <si>
    <t>勤労感謝の日</t>
  </si>
  <si>
    <t>予定バー / 実績バー / カミナリ戦（基準日）を一画面で確認できます。入力セルは淡い黄色です。</t>
  </si>
  <si>
    <t>ID</t>
  </si>
  <si>
    <t>階層</t>
  </si>
  <si>
    <t>タスク名</t>
  </si>
  <si>
    <t>担当</t>
  </si>
  <si>
    <t>種別</t>
  </si>
  <si>
    <t>予定開始</t>
  </si>
  <si>
    <t>予定日数</t>
  </si>
  <si>
    <t>予定終了</t>
  </si>
  <si>
    <t>実績開始</t>
  </si>
  <si>
    <t>実績終了</t>
  </si>
  <si>
    <t>進捗率</t>
  </si>
  <si>
    <t>先行ID</t>
  </si>
  <si>
    <t>開始遅れ</t>
  </si>
  <si>
    <t>終了遅れ</t>
  </si>
  <si>
    <t>工数</t>
  </si>
  <si>
    <t>備考</t>
  </si>
  <si>
    <t>状態</t>
  </si>
  <si>
    <t>1</t>
  </si>
  <si>
    <t>要件定義</t>
  </si>
  <si>
    <t>PM</t>
  </si>
  <si>
    <t>フェーズ</t>
  </si>
  <si>
    <t>成果物を確認</t>
  </si>
  <si>
    <t>1.1</t>
  </si>
  <si>
    <t>キックオフ</t>
  </si>
  <si>
    <t>タスク</t>
  </si>
  <si>
    <t>1.2</t>
  </si>
  <si>
    <t>要件ヒアリング</t>
  </si>
  <si>
    <t>PL</t>
  </si>
  <si>
    <t>1.3</t>
  </si>
  <si>
    <t>要件定義書レビュー</t>
  </si>
  <si>
    <t>マイルストーン</t>
  </si>
  <si>
    <t>レビュー完了</t>
  </si>
  <si>
    <t>2</t>
  </si>
  <si>
    <t>設計・開発</t>
  </si>
  <si>
    <t>2.1</t>
  </si>
  <si>
    <t>基本設計</t>
  </si>
  <si>
    <t>設計</t>
  </si>
  <si>
    <t>2.2</t>
  </si>
  <si>
    <t>実装</t>
  </si>
  <si>
    <t>開発</t>
  </si>
  <si>
    <t>2.3</t>
  </si>
  <si>
    <t>リリース判定</t>
  </si>
  <si>
    <t>Go / No-Go</t>
  </si>
  <si>
    <t>プロジェクト集計</t>
  </si>
  <si>
    <t>総タスク数</t>
  </si>
  <si>
    <t>完了タスク数</t>
  </si>
  <si>
    <t>進行中タスク数</t>
  </si>
  <si>
    <t>平均進捗率</t>
  </si>
  <si>
    <t>遅延タスク数</t>
  </si>
  <si>
    <t>総工数</t>
  </si>
  <si>
    <t>凡例</t>
  </si>
  <si>
    <t>予定</t>
  </si>
  <si>
    <t>実績</t>
  </si>
  <si>
    <t>カミナリ戦（基準日）</t>
  </si>
</sst>
</file>

<file path=xl/styles.xml><?xml version="1.0" encoding="utf-8"?>
<styleSheet xmlns="http://schemas.openxmlformats.org/spreadsheetml/2006/main">
  <numFmts count="4">
    <numFmt numFmtId="164" formatCode="m/d"/>
    <numFmt numFmtId="165" formatCode="yyyy/m/d"/>
    <numFmt numFmtId="166" formatCode="0.0"/>
    <numFmt numFmtId="167" formatCode="0%"/>
  </numFmts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8"/>
      <color rgb="FF17324D"/>
      <name val="Calibri"/>
      <family val="2"/>
      <scheme val="minor"/>
    </font>
    <font>
      <b/>
      <sz val="14"/>
      <color rgb="FF2B6CB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2B6CB0"/>
        <bgColor indexed="64"/>
      </patternFill>
    </fill>
    <fill>
      <patternFill patternType="solid">
        <fgColor rgb="FFDCEBFA"/>
        <bgColor indexed="64"/>
      </patternFill>
    </fill>
    <fill>
      <patternFill patternType="solid">
        <fgColor rgb="FF79C2B8"/>
        <bgColor indexed="64"/>
      </patternFill>
    </fill>
    <fill>
      <patternFill patternType="solid">
        <fgColor rgb="FFFCA5A5"/>
        <bgColor indexed="64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5" fontId="0" fillId="3" borderId="1" xfId="0" applyNumberFormat="1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7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5" fillId="0" borderId="0" xfId="0" applyFont="1"/>
    <xf numFmtId="165" fontId="0" fillId="0" borderId="0" xfId="0" applyNumberFormat="1"/>
    <xf numFmtId="0" fontId="3" fillId="5" borderId="2" xfId="0" applyFont="1" applyFill="1" applyBorder="1" applyAlignment="1">
      <alignment horizontal="center"/>
    </xf>
    <xf numFmtId="165" fontId="0" fillId="0" borderId="2" xfId="0" applyNumberFormat="1" applyBorder="1"/>
    <xf numFmtId="0" fontId="6" fillId="0" borderId="1" xfId="0" applyFont="1" applyBorder="1"/>
    <xf numFmtId="167" fontId="6" fillId="0" borderId="1" xfId="0" applyNumberFormat="1" applyFont="1" applyBorder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3">
    <dxf>
      <fill>
        <patternFill>
          <bgColor rgb="FFDCEBFA"/>
        </patternFill>
      </fill>
    </dxf>
    <dxf>
      <fill>
        <patternFill>
          <bgColor rgb="FF79C2B8"/>
        </patternFill>
      </fill>
    </dxf>
    <dxf>
      <fill>
        <patternFill>
          <bgColor rgb="FFFCA5A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BSTasks" displayName="WBSTasks" ref="A5:Q105" totalsRowShown="0">
  <autoFilter ref="A5:Q105"/>
  <tableColumns count="17">
    <tableColumn id="1" name="ID"/>
    <tableColumn id="2" name="階層"/>
    <tableColumn id="3" name="タスク名"/>
    <tableColumn id="4" name="担当"/>
    <tableColumn id="5" name="種別"/>
    <tableColumn id="6" name="予定開始"/>
    <tableColumn id="7" name="予定日数"/>
    <tableColumn id="8" name="予定終了"/>
    <tableColumn id="9" name="実績開始"/>
    <tableColumn id="10" name="実績終了"/>
    <tableColumn id="11" name="進捗率"/>
    <tableColumn id="12" name="先行ID"/>
    <tableColumn id="13" name="開始遅れ"/>
    <tableColumn id="14" name="終了遅れ"/>
    <tableColumn id="15" name="工数"/>
    <tableColumn id="16" name="備考"/>
    <tableColumn id="17" name="状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G105"/>
  <sheetViews>
    <sheetView showGridLines="0" tabSelected="1" workbookViewId="0">
      <pane xSplit="17" ySplit="5" topLeftCell="R6" activePane="bottomRight" state="frozen"/>
      <selection pane="topRight" activeCell="R1" sqref="R1"/>
      <selection pane="bottomLeft" activeCell="A6" sqref="A6"/>
      <selection pane="bottomRight"/>
    </sheetView>
  </sheetViews>
  <sheetFormatPr defaultRowHeight="15"/>
  <cols>
    <col min="1" max="1" width="8.7109375" customWidth="1"/>
    <col min="2" max="2" width="7.7109375" customWidth="1"/>
    <col min="3" max="3" width="28.7109375" customWidth="1"/>
    <col min="4" max="4" width="12.7109375" customWidth="1"/>
    <col min="5" max="5" width="14.7109375" customWidth="1"/>
    <col min="6" max="10" width="13.7109375" customWidth="1"/>
    <col min="11" max="11" width="9.7109375" customWidth="1"/>
    <col min="12" max="14" width="10.7109375" customWidth="1"/>
    <col min="15" max="15" width="8.7109375" customWidth="1"/>
    <col min="16" max="16" width="24.7109375" customWidth="1"/>
    <col min="17" max="17" width="12.7109375" customWidth="1"/>
    <col min="18" max="137" width="3.85546875" customWidth="1"/>
  </cols>
  <sheetData>
    <row r="1" spans="1:137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37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37" ht="22" customHeight="1">
      <c r="R4" s="3">
        <v>46296</v>
      </c>
      <c r="S4" s="3">
        <v>46297</v>
      </c>
      <c r="T4" s="3">
        <v>46298</v>
      </c>
      <c r="U4" s="3">
        <v>46299</v>
      </c>
      <c r="V4" s="3">
        <v>46300</v>
      </c>
      <c r="W4" s="3">
        <v>46301</v>
      </c>
      <c r="X4" s="3">
        <v>46302</v>
      </c>
      <c r="Y4" s="3">
        <v>46303</v>
      </c>
      <c r="Z4" s="3">
        <v>46304</v>
      </c>
      <c r="AA4" s="3">
        <v>46305</v>
      </c>
      <c r="AB4" s="3">
        <v>46306</v>
      </c>
      <c r="AC4" s="3">
        <v>46307</v>
      </c>
      <c r="AD4" s="3">
        <v>46308</v>
      </c>
      <c r="AE4" s="3">
        <v>46309</v>
      </c>
      <c r="AF4" s="3">
        <v>46310</v>
      </c>
      <c r="AG4" s="3">
        <v>46311</v>
      </c>
      <c r="AH4" s="3">
        <v>46312</v>
      </c>
      <c r="AI4" s="3">
        <v>46313</v>
      </c>
      <c r="AJ4" s="3">
        <v>46314</v>
      </c>
      <c r="AK4" s="3">
        <v>46315</v>
      </c>
      <c r="AL4" s="3">
        <v>46316</v>
      </c>
      <c r="AM4" s="3">
        <v>46317</v>
      </c>
      <c r="AN4" s="3">
        <v>46318</v>
      </c>
      <c r="AO4" s="3">
        <v>46319</v>
      </c>
      <c r="AP4" s="3">
        <v>46320</v>
      </c>
      <c r="AQ4" s="3">
        <v>46321</v>
      </c>
      <c r="AR4" s="3">
        <v>46322</v>
      </c>
      <c r="AS4" s="3">
        <v>46323</v>
      </c>
      <c r="AT4" s="3">
        <v>46324</v>
      </c>
      <c r="AU4" s="3">
        <v>46325</v>
      </c>
      <c r="AV4" s="3">
        <v>46326</v>
      </c>
      <c r="AW4" s="3">
        <v>46327</v>
      </c>
      <c r="AX4" s="3">
        <v>46328</v>
      </c>
      <c r="AY4" s="3">
        <v>46329</v>
      </c>
      <c r="AZ4" s="3">
        <v>46330</v>
      </c>
      <c r="BA4" s="3">
        <v>46331</v>
      </c>
      <c r="BB4" s="3">
        <v>46332</v>
      </c>
      <c r="BC4" s="3">
        <v>46333</v>
      </c>
      <c r="BD4" s="3">
        <v>46334</v>
      </c>
      <c r="BE4" s="3">
        <v>46335</v>
      </c>
      <c r="BF4" s="3">
        <v>46336</v>
      </c>
      <c r="BG4" s="3">
        <v>46337</v>
      </c>
      <c r="BH4" s="3">
        <v>46338</v>
      </c>
      <c r="BI4" s="3">
        <v>46339</v>
      </c>
      <c r="BJ4" s="3">
        <v>46340</v>
      </c>
      <c r="BK4" s="3">
        <v>46341</v>
      </c>
      <c r="BL4" s="3">
        <v>46342</v>
      </c>
      <c r="BM4" s="3">
        <v>46343</v>
      </c>
      <c r="BN4" s="3">
        <v>46344</v>
      </c>
      <c r="BO4" s="3">
        <v>46345</v>
      </c>
      <c r="BP4" s="3">
        <v>46346</v>
      </c>
      <c r="BQ4" s="3">
        <v>46347</v>
      </c>
      <c r="BR4" s="3">
        <v>46348</v>
      </c>
      <c r="BS4" s="3">
        <v>46349</v>
      </c>
      <c r="BT4" s="3">
        <v>46350</v>
      </c>
      <c r="BU4" s="3">
        <v>46351</v>
      </c>
      <c r="BV4" s="3">
        <v>46352</v>
      </c>
      <c r="BW4" s="3">
        <v>46353</v>
      </c>
      <c r="BX4" s="3">
        <v>46354</v>
      </c>
      <c r="BY4" s="3">
        <v>46355</v>
      </c>
      <c r="BZ4" s="3">
        <v>46356</v>
      </c>
      <c r="CA4" s="3">
        <v>46357</v>
      </c>
      <c r="CB4" s="3">
        <v>46358</v>
      </c>
      <c r="CC4" s="3">
        <v>46359</v>
      </c>
      <c r="CD4" s="3">
        <v>46360</v>
      </c>
      <c r="CE4" s="3">
        <v>46361</v>
      </c>
      <c r="CF4" s="3">
        <v>46362</v>
      </c>
      <c r="CG4" s="3">
        <v>46363</v>
      </c>
      <c r="CH4" s="3">
        <v>46364</v>
      </c>
      <c r="CI4" s="3">
        <v>46365</v>
      </c>
      <c r="CJ4" s="3">
        <v>46366</v>
      </c>
      <c r="CK4" s="3">
        <v>46367</v>
      </c>
      <c r="CL4" s="3">
        <v>46368</v>
      </c>
      <c r="CM4" s="3">
        <v>46369</v>
      </c>
      <c r="CN4" s="3">
        <v>46370</v>
      </c>
      <c r="CO4" s="3">
        <v>46371</v>
      </c>
      <c r="CP4" s="3">
        <v>46372</v>
      </c>
      <c r="CQ4" s="3">
        <v>46373</v>
      </c>
      <c r="CR4" s="3">
        <v>46374</v>
      </c>
      <c r="CS4" s="3">
        <v>46375</v>
      </c>
      <c r="CT4" s="3">
        <v>46376</v>
      </c>
      <c r="CU4" s="3">
        <v>46377</v>
      </c>
      <c r="CV4" s="3">
        <v>46378</v>
      </c>
      <c r="CW4" s="3">
        <v>46379</v>
      </c>
      <c r="CX4" s="3">
        <v>46380</v>
      </c>
      <c r="CY4" s="3">
        <v>46381</v>
      </c>
      <c r="CZ4" s="3">
        <v>46382</v>
      </c>
      <c r="DA4" s="3">
        <v>46383</v>
      </c>
      <c r="DB4" s="3">
        <v>46384</v>
      </c>
      <c r="DC4" s="3">
        <v>46385</v>
      </c>
      <c r="DD4" s="3">
        <v>46386</v>
      </c>
      <c r="DE4" s="3">
        <v>46387</v>
      </c>
      <c r="DF4" s="3">
        <v>46388</v>
      </c>
      <c r="DG4" s="3">
        <v>46389</v>
      </c>
      <c r="DH4" s="3">
        <v>46390</v>
      </c>
      <c r="DI4" s="3">
        <v>46391</v>
      </c>
      <c r="DJ4" s="3">
        <v>46392</v>
      </c>
      <c r="DK4" s="3">
        <v>46393</v>
      </c>
      <c r="DL4" s="3">
        <v>46394</v>
      </c>
      <c r="DM4" s="3">
        <v>46395</v>
      </c>
      <c r="DN4" s="3">
        <v>46396</v>
      </c>
      <c r="DO4" s="3">
        <v>46397</v>
      </c>
      <c r="DP4" s="3">
        <v>46398</v>
      </c>
      <c r="DQ4" s="3">
        <v>46399</v>
      </c>
      <c r="DR4" s="3">
        <v>46400</v>
      </c>
      <c r="DS4" s="3">
        <v>46401</v>
      </c>
      <c r="DT4" s="3">
        <v>46402</v>
      </c>
      <c r="DU4" s="3">
        <v>46403</v>
      </c>
      <c r="DV4" s="3">
        <v>46404</v>
      </c>
      <c r="DW4" s="3">
        <v>46405</v>
      </c>
      <c r="DX4" s="3">
        <v>46406</v>
      </c>
      <c r="DY4" s="3">
        <v>46407</v>
      </c>
      <c r="DZ4" s="3">
        <v>46408</v>
      </c>
      <c r="EA4" s="3">
        <v>46409</v>
      </c>
      <c r="EB4" s="3">
        <v>46410</v>
      </c>
      <c r="EC4" s="3">
        <v>46411</v>
      </c>
      <c r="ED4" s="3">
        <v>46412</v>
      </c>
      <c r="EE4" s="3">
        <v>46413</v>
      </c>
      <c r="EF4" s="3">
        <v>46414</v>
      </c>
      <c r="EG4" s="3">
        <v>46415</v>
      </c>
    </row>
    <row r="5" spans="1:137" ht="34" customHeight="1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s="3">
        <v>46296</v>
      </c>
      <c r="S5" s="3">
        <v>46297</v>
      </c>
      <c r="T5" s="3">
        <v>46298</v>
      </c>
      <c r="U5" s="3">
        <v>46299</v>
      </c>
      <c r="V5" s="3">
        <v>46300</v>
      </c>
      <c r="W5" s="3">
        <v>46301</v>
      </c>
      <c r="X5" s="3">
        <v>46302</v>
      </c>
      <c r="Y5" s="3">
        <v>46303</v>
      </c>
      <c r="Z5" s="3">
        <v>46304</v>
      </c>
      <c r="AA5" s="3">
        <v>46305</v>
      </c>
      <c r="AB5" s="3">
        <v>46306</v>
      </c>
      <c r="AC5" s="3">
        <v>46307</v>
      </c>
      <c r="AD5" s="3">
        <v>46308</v>
      </c>
      <c r="AE5" s="3">
        <v>46309</v>
      </c>
      <c r="AF5" s="3">
        <v>46310</v>
      </c>
      <c r="AG5" s="3">
        <v>46311</v>
      </c>
      <c r="AH5" s="3">
        <v>46312</v>
      </c>
      <c r="AI5" s="3">
        <v>46313</v>
      </c>
      <c r="AJ5" s="3">
        <v>46314</v>
      </c>
      <c r="AK5" s="3">
        <v>46315</v>
      </c>
      <c r="AL5" s="3">
        <v>46316</v>
      </c>
      <c r="AM5" s="3">
        <v>46317</v>
      </c>
      <c r="AN5" s="3">
        <v>46318</v>
      </c>
      <c r="AO5" s="3">
        <v>46319</v>
      </c>
      <c r="AP5" s="3">
        <v>46320</v>
      </c>
      <c r="AQ5" s="3">
        <v>46321</v>
      </c>
      <c r="AR5" s="3">
        <v>46322</v>
      </c>
      <c r="AS5" s="3">
        <v>46323</v>
      </c>
      <c r="AT5" s="3">
        <v>46324</v>
      </c>
      <c r="AU5" s="3">
        <v>46325</v>
      </c>
      <c r="AV5" s="3">
        <v>46326</v>
      </c>
      <c r="AW5" s="3">
        <v>46327</v>
      </c>
      <c r="AX5" s="3">
        <v>46328</v>
      </c>
      <c r="AY5" s="3">
        <v>46329</v>
      </c>
      <c r="AZ5" s="3">
        <v>46330</v>
      </c>
      <c r="BA5" s="3">
        <v>46331</v>
      </c>
      <c r="BB5" s="3">
        <v>46332</v>
      </c>
      <c r="BC5" s="3">
        <v>46333</v>
      </c>
      <c r="BD5" s="3">
        <v>46334</v>
      </c>
      <c r="BE5" s="3">
        <v>46335</v>
      </c>
      <c r="BF5" s="3">
        <v>46336</v>
      </c>
      <c r="BG5" s="3">
        <v>46337</v>
      </c>
      <c r="BH5" s="3">
        <v>46338</v>
      </c>
      <c r="BI5" s="3">
        <v>46339</v>
      </c>
      <c r="BJ5" s="3">
        <v>46340</v>
      </c>
      <c r="BK5" s="3">
        <v>46341</v>
      </c>
      <c r="BL5" s="3">
        <v>46342</v>
      </c>
      <c r="BM5" s="3">
        <v>46343</v>
      </c>
      <c r="BN5" s="3">
        <v>46344</v>
      </c>
      <c r="BO5" s="3">
        <v>46345</v>
      </c>
      <c r="BP5" s="3">
        <v>46346</v>
      </c>
      <c r="BQ5" s="3">
        <v>46347</v>
      </c>
      <c r="BR5" s="3">
        <v>46348</v>
      </c>
      <c r="BS5" s="3">
        <v>46349</v>
      </c>
      <c r="BT5" s="3">
        <v>46350</v>
      </c>
      <c r="BU5" s="3">
        <v>46351</v>
      </c>
      <c r="BV5" s="3">
        <v>46352</v>
      </c>
      <c r="BW5" s="3">
        <v>46353</v>
      </c>
      <c r="BX5" s="3">
        <v>46354</v>
      </c>
      <c r="BY5" s="3">
        <v>46355</v>
      </c>
      <c r="BZ5" s="3">
        <v>46356</v>
      </c>
      <c r="CA5" s="3">
        <v>46357</v>
      </c>
      <c r="CB5" s="3">
        <v>46358</v>
      </c>
      <c r="CC5" s="3">
        <v>46359</v>
      </c>
      <c r="CD5" s="3">
        <v>46360</v>
      </c>
      <c r="CE5" s="3">
        <v>46361</v>
      </c>
      <c r="CF5" s="3">
        <v>46362</v>
      </c>
      <c r="CG5" s="3">
        <v>46363</v>
      </c>
      <c r="CH5" s="3">
        <v>46364</v>
      </c>
      <c r="CI5" s="3">
        <v>46365</v>
      </c>
      <c r="CJ5" s="3">
        <v>46366</v>
      </c>
      <c r="CK5" s="3">
        <v>46367</v>
      </c>
      <c r="CL5" s="3">
        <v>46368</v>
      </c>
      <c r="CM5" s="3">
        <v>46369</v>
      </c>
      <c r="CN5" s="3">
        <v>46370</v>
      </c>
      <c r="CO5" s="3">
        <v>46371</v>
      </c>
      <c r="CP5" s="3">
        <v>46372</v>
      </c>
      <c r="CQ5" s="3">
        <v>46373</v>
      </c>
      <c r="CR5" s="3">
        <v>46374</v>
      </c>
      <c r="CS5" s="3">
        <v>46375</v>
      </c>
      <c r="CT5" s="3">
        <v>46376</v>
      </c>
      <c r="CU5" s="3">
        <v>46377</v>
      </c>
      <c r="CV5" s="3">
        <v>46378</v>
      </c>
      <c r="CW5" s="3">
        <v>46379</v>
      </c>
      <c r="CX5" s="3">
        <v>46380</v>
      </c>
      <c r="CY5" s="3">
        <v>46381</v>
      </c>
      <c r="CZ5" s="3">
        <v>46382</v>
      </c>
      <c r="DA5" s="3">
        <v>46383</v>
      </c>
      <c r="DB5" s="3">
        <v>46384</v>
      </c>
      <c r="DC5" s="3">
        <v>46385</v>
      </c>
      <c r="DD5" s="3">
        <v>46386</v>
      </c>
      <c r="DE5" s="3">
        <v>46387</v>
      </c>
      <c r="DF5" s="3">
        <v>46388</v>
      </c>
      <c r="DG5" s="3">
        <v>46389</v>
      </c>
      <c r="DH5" s="3">
        <v>46390</v>
      </c>
      <c r="DI5" s="3">
        <v>46391</v>
      </c>
      <c r="DJ5" s="3">
        <v>46392</v>
      </c>
      <c r="DK5" s="3">
        <v>46393</v>
      </c>
      <c r="DL5" s="3">
        <v>46394</v>
      </c>
      <c r="DM5" s="3">
        <v>46395</v>
      </c>
      <c r="DN5" s="3">
        <v>46396</v>
      </c>
      <c r="DO5" s="3">
        <v>46397</v>
      </c>
      <c r="DP5" s="3">
        <v>46398</v>
      </c>
      <c r="DQ5" s="3">
        <v>46399</v>
      </c>
      <c r="DR5" s="3">
        <v>46400</v>
      </c>
      <c r="DS5" s="3">
        <v>46401</v>
      </c>
      <c r="DT5" s="3">
        <v>46402</v>
      </c>
      <c r="DU5" s="3">
        <v>46403</v>
      </c>
      <c r="DV5" s="3">
        <v>46404</v>
      </c>
      <c r="DW5" s="3">
        <v>46405</v>
      </c>
      <c r="DX5" s="3">
        <v>46406</v>
      </c>
      <c r="DY5" s="3">
        <v>46407</v>
      </c>
      <c r="DZ5" s="3">
        <v>46408</v>
      </c>
      <c r="EA5" s="3">
        <v>46409</v>
      </c>
      <c r="EB5" s="3">
        <v>46410</v>
      </c>
      <c r="EC5" s="3">
        <v>46411</v>
      </c>
      <c r="ED5" s="3">
        <v>46412</v>
      </c>
      <c r="EE5" s="3">
        <v>46413</v>
      </c>
      <c r="EF5" s="3">
        <v>46414</v>
      </c>
      <c r="EG5" s="3">
        <v>46415</v>
      </c>
    </row>
    <row r="6" spans="1:137">
      <c r="A6" s="4" t="s">
        <v>36</v>
      </c>
      <c r="B6" s="4">
        <v>0</v>
      </c>
      <c r="C6" s="4" t="s">
        <v>37</v>
      </c>
      <c r="D6" s="4" t="s">
        <v>38</v>
      </c>
      <c r="E6" s="4" t="s">
        <v>39</v>
      </c>
      <c r="F6" s="5">
        <v>46296</v>
      </c>
      <c r="G6" s="6">
        <v>10</v>
      </c>
      <c r="H6" s="7">
        <f>IF(OR(F6="",G6=""),"",WORKDAY.INTL(F6,G6-1,1,休日!$A$4:$A$200))</f>
        <v>0</v>
      </c>
      <c r="K6" s="8">
        <v>0</v>
      </c>
      <c r="L6" s="9"/>
      <c r="M6" s="10">
        <f>IF(OR(F6="",I6=""),"",NETWORKDAYS.INTL(F6,I6-1,1,休日!$A$4:$A$200)-1)</f>
        <v>0</v>
      </c>
      <c r="N6" s="10">
        <f>IF(OR(H6="",J6=""),"",NETWORKDAYS.INTL(H6,J6-1,1,休日!$A$4:$A$200)-1)</f>
        <v>0</v>
      </c>
      <c r="O6" s="6">
        <v>1</v>
      </c>
      <c r="P6" s="9" t="s">
        <v>40</v>
      </c>
      <c r="Q6" s="10">
        <f>IF(C6="","",IF(E6="マイルストーン","MILESTONE",IF(K6&gt;=1,"完了",IF(I6&lt;&gt;"","進行中","未着手"))))</f>
        <v>0</v>
      </c>
    </row>
    <row r="7" spans="1:137">
      <c r="A7" s="9" t="s">
        <v>41</v>
      </c>
      <c r="B7" s="9">
        <v>1</v>
      </c>
      <c r="C7" s="9" t="s">
        <v>42</v>
      </c>
      <c r="D7" s="9" t="s">
        <v>38</v>
      </c>
      <c r="E7" s="9" t="s">
        <v>43</v>
      </c>
      <c r="F7" s="5">
        <v>46296</v>
      </c>
      <c r="G7" s="6">
        <v>1</v>
      </c>
      <c r="H7" s="7">
        <f>IF(OR(F7="",G7=""),"",WORKDAY.INTL(F7,G7-1,1,休日!$A$4:$A$200))</f>
        <v>0</v>
      </c>
      <c r="K7" s="8">
        <v>0</v>
      </c>
      <c r="L7" s="9"/>
      <c r="M7" s="10">
        <f>IF(OR(F7="",I7=""),"",NETWORKDAYS.INTL(F7,I7-1,1,休日!$A$4:$A$200)-1)</f>
        <v>0</v>
      </c>
      <c r="N7" s="10">
        <f>IF(OR(H7="",J7=""),"",NETWORKDAYS.INTL(H7,J7-1,1,休日!$A$4:$A$200)-1)</f>
        <v>0</v>
      </c>
      <c r="O7" s="6">
        <v>1</v>
      </c>
      <c r="P7" s="9"/>
      <c r="Q7" s="10">
        <f>IF(C7="","",IF(E7="マイルストーン","MILESTONE",IF(K7&gt;=1,"完了",IF(I7&lt;&gt;"","進行中","未着手"))))</f>
        <v>0</v>
      </c>
    </row>
    <row r="8" spans="1:137">
      <c r="A8" s="9" t="s">
        <v>44</v>
      </c>
      <c r="B8" s="9">
        <v>1</v>
      </c>
      <c r="C8" s="9" t="s">
        <v>45</v>
      </c>
      <c r="D8" s="9" t="s">
        <v>46</v>
      </c>
      <c r="E8" s="9" t="s">
        <v>43</v>
      </c>
      <c r="F8" s="5">
        <v>46297</v>
      </c>
      <c r="G8" s="6">
        <v>5</v>
      </c>
      <c r="H8" s="7">
        <f>IF(OR(F8="",G8=""),"",WORKDAY.INTL(F8,G8-1,1,休日!$A$4:$A$200))</f>
        <v>0</v>
      </c>
      <c r="K8" s="8">
        <v>0</v>
      </c>
      <c r="L8" s="9" t="s">
        <v>41</v>
      </c>
      <c r="M8" s="10">
        <f>IF(OR(F8="",I8=""),"",NETWORKDAYS.INTL(F8,I8-1,1,休日!$A$4:$A$200)-1)</f>
        <v>0</v>
      </c>
      <c r="N8" s="10">
        <f>IF(OR(H8="",J8=""),"",NETWORKDAYS.INTL(H8,J8-1,1,休日!$A$4:$A$200)-1)</f>
        <v>0</v>
      </c>
      <c r="O8" s="6">
        <v>1</v>
      </c>
      <c r="P8" s="9"/>
      <c r="Q8" s="10">
        <f>IF(C8="","",IF(E8="マイルストーン","MILESTONE",IF(K8&gt;=1,"完了",IF(I8&lt;&gt;"","進行中","未着手"))))</f>
        <v>0</v>
      </c>
    </row>
    <row r="9" spans="1:137">
      <c r="A9" s="11" t="s">
        <v>47</v>
      </c>
      <c r="B9" s="11">
        <v>1</v>
      </c>
      <c r="C9" s="11" t="s">
        <v>48</v>
      </c>
      <c r="D9" s="11" t="s">
        <v>38</v>
      </c>
      <c r="E9" s="11" t="s">
        <v>49</v>
      </c>
      <c r="F9" s="5">
        <v>46303</v>
      </c>
      <c r="G9" s="6">
        <v>1</v>
      </c>
      <c r="H9" s="7">
        <f>IF(OR(F9="",G9=""),"",WORKDAY.INTL(F9,G9-1,1,休日!$A$4:$A$200))</f>
        <v>0</v>
      </c>
      <c r="K9" s="8">
        <v>0</v>
      </c>
      <c r="L9" s="9" t="s">
        <v>44</v>
      </c>
      <c r="M9" s="10">
        <f>IF(OR(F9="",I9=""),"",NETWORKDAYS.INTL(F9,I9-1,1,休日!$A$4:$A$200)-1)</f>
        <v>0</v>
      </c>
      <c r="N9" s="10">
        <f>IF(OR(H9="",J9=""),"",NETWORKDAYS.INTL(H9,J9-1,1,休日!$A$4:$A$200)-1)</f>
        <v>0</v>
      </c>
      <c r="O9" s="6">
        <v>1</v>
      </c>
      <c r="P9" s="9" t="s">
        <v>50</v>
      </c>
      <c r="Q9" s="10">
        <f>IF(C9="","",IF(E9="マイルストーン","MILESTONE",IF(K9&gt;=1,"完了",IF(I9&lt;&gt;"","進行中","未着手"))))</f>
        <v>0</v>
      </c>
    </row>
    <row r="10" spans="1:137">
      <c r="A10" s="4" t="s">
        <v>51</v>
      </c>
      <c r="B10" s="4">
        <v>0</v>
      </c>
      <c r="C10" s="4" t="s">
        <v>52</v>
      </c>
      <c r="D10" s="4" t="s">
        <v>46</v>
      </c>
      <c r="E10" s="4" t="s">
        <v>39</v>
      </c>
      <c r="F10" s="5">
        <v>46306</v>
      </c>
      <c r="G10" s="6">
        <v>30</v>
      </c>
      <c r="H10" s="7">
        <f>IF(OR(F10="",G10=""),"",WORKDAY.INTL(F10,G10-1,1,休日!$A$4:$A$200))</f>
        <v>0</v>
      </c>
      <c r="K10" s="8">
        <v>0</v>
      </c>
      <c r="L10" s="9" t="s">
        <v>47</v>
      </c>
      <c r="M10" s="10">
        <f>IF(OR(F10="",I10=""),"",NETWORKDAYS.INTL(F10,I10-1,1,休日!$A$4:$A$200)-1)</f>
        <v>0</v>
      </c>
      <c r="N10" s="10">
        <f>IF(OR(H10="",J10=""),"",NETWORKDAYS.INTL(H10,J10-1,1,休日!$A$4:$A$200)-1)</f>
        <v>0</v>
      </c>
      <c r="O10" s="6">
        <v>1</v>
      </c>
      <c r="P10" s="9"/>
      <c r="Q10" s="10">
        <f>IF(C10="","",IF(E10="マイルストーン","MILESTONE",IF(K10&gt;=1,"完了",IF(I10&lt;&gt;"","進行中","未着手"))))</f>
        <v>0</v>
      </c>
    </row>
    <row r="11" spans="1:137">
      <c r="A11" s="9" t="s">
        <v>53</v>
      </c>
      <c r="B11" s="9">
        <v>1</v>
      </c>
      <c r="C11" s="9" t="s">
        <v>54</v>
      </c>
      <c r="D11" s="9" t="s">
        <v>55</v>
      </c>
      <c r="E11" s="9" t="s">
        <v>43</v>
      </c>
      <c r="F11" s="5">
        <v>46306</v>
      </c>
      <c r="G11" s="6">
        <v>8</v>
      </c>
      <c r="H11" s="7">
        <f>IF(OR(F11="",G11=""),"",WORKDAY.INTL(F11,G11-1,1,休日!$A$4:$A$200))</f>
        <v>0</v>
      </c>
      <c r="K11" s="8">
        <v>0</v>
      </c>
      <c r="L11" s="9" t="s">
        <v>47</v>
      </c>
      <c r="M11" s="10">
        <f>IF(OR(F11="",I11=""),"",NETWORKDAYS.INTL(F11,I11-1,1,休日!$A$4:$A$200)-1)</f>
        <v>0</v>
      </c>
      <c r="N11" s="10">
        <f>IF(OR(H11="",J11=""),"",NETWORKDAYS.INTL(H11,J11-1,1,休日!$A$4:$A$200)-1)</f>
        <v>0</v>
      </c>
      <c r="O11" s="6">
        <v>1</v>
      </c>
      <c r="P11" s="9"/>
      <c r="Q11" s="10">
        <f>IF(C11="","",IF(E11="マイルストーン","MILESTONE",IF(K11&gt;=1,"完了",IF(I11&lt;&gt;"","進行中","未着手"))))</f>
        <v>0</v>
      </c>
    </row>
    <row r="12" spans="1:137">
      <c r="A12" s="9" t="s">
        <v>56</v>
      </c>
      <c r="B12" s="9">
        <v>1</v>
      </c>
      <c r="C12" s="9" t="s">
        <v>57</v>
      </c>
      <c r="D12" s="9" t="s">
        <v>58</v>
      </c>
      <c r="E12" s="9" t="s">
        <v>43</v>
      </c>
      <c r="F12" s="5">
        <v>46314</v>
      </c>
      <c r="G12" s="6">
        <v>15</v>
      </c>
      <c r="H12" s="7">
        <f>IF(OR(F12="",G12=""),"",WORKDAY.INTL(F12,G12-1,1,休日!$A$4:$A$200))</f>
        <v>0</v>
      </c>
      <c r="K12" s="8">
        <v>0</v>
      </c>
      <c r="L12" s="9" t="s">
        <v>53</v>
      </c>
      <c r="M12" s="10">
        <f>IF(OR(F12="",I12=""),"",NETWORKDAYS.INTL(F12,I12-1,1,休日!$A$4:$A$200)-1)</f>
        <v>0</v>
      </c>
      <c r="N12" s="10">
        <f>IF(OR(H12="",J12=""),"",NETWORKDAYS.INTL(H12,J12-1,1,休日!$A$4:$A$200)-1)</f>
        <v>0</v>
      </c>
      <c r="O12" s="6">
        <v>2</v>
      </c>
      <c r="P12" s="9"/>
      <c r="Q12" s="10">
        <f>IF(C12="","",IF(E12="マイルストーン","MILESTONE",IF(K12&gt;=1,"完了",IF(I12&lt;&gt;"","進行中","未着手"))))</f>
        <v>0</v>
      </c>
    </row>
    <row r="13" spans="1:137">
      <c r="A13" s="11" t="s">
        <v>59</v>
      </c>
      <c r="B13" s="11">
        <v>1</v>
      </c>
      <c r="C13" s="11" t="s">
        <v>60</v>
      </c>
      <c r="D13" s="11" t="s">
        <v>38</v>
      </c>
      <c r="E13" s="11" t="s">
        <v>49</v>
      </c>
      <c r="F13" s="5">
        <v>46335</v>
      </c>
      <c r="G13" s="6">
        <v>1</v>
      </c>
      <c r="H13" s="7">
        <f>IF(OR(F13="",G13=""),"",WORKDAY.INTL(F13,G13-1,1,休日!$A$4:$A$200))</f>
        <v>0</v>
      </c>
      <c r="K13" s="8">
        <v>0</v>
      </c>
      <c r="L13" s="9" t="s">
        <v>56</v>
      </c>
      <c r="M13" s="10">
        <f>IF(OR(F13="",I13=""),"",NETWORKDAYS.INTL(F13,I13-1,1,休日!$A$4:$A$200)-1)</f>
        <v>0</v>
      </c>
      <c r="N13" s="10">
        <f>IF(OR(H13="",J13=""),"",NETWORKDAYS.INTL(H13,J13-1,1,休日!$A$4:$A$200)-1)</f>
        <v>0</v>
      </c>
      <c r="O13" s="6">
        <v>1</v>
      </c>
      <c r="P13" s="9" t="s">
        <v>61</v>
      </c>
      <c r="Q13" s="10">
        <f>IF(C13="","",IF(E13="マイルストーン","MILESTONE",IF(K13&gt;=1,"完了",IF(I13&lt;&gt;"","進行中","未着手"))))</f>
        <v>0</v>
      </c>
    </row>
    <row r="14" spans="1:137">
      <c r="A14" s="9"/>
      <c r="B14" s="9"/>
      <c r="C14" s="9"/>
      <c r="D14" s="9"/>
      <c r="E14" s="9"/>
      <c r="H14" s="7">
        <f>IF(OR(F14="",G14=""),"",WORKDAY.INTL(F14,G14-1,1,休日!$A$4:$A$200))</f>
        <v>0</v>
      </c>
      <c r="L14" s="9"/>
      <c r="M14" s="10">
        <f>IF(OR(F14="",I14=""),"",NETWORKDAYS.INTL(F14,I14-1,1,休日!$A$4:$A$200)-1)</f>
        <v>0</v>
      </c>
      <c r="N14" s="10">
        <f>IF(OR(H14="",J14=""),"",NETWORKDAYS.INTL(H14,J14-1,1,休日!$A$4:$A$200)-1)</f>
        <v>0</v>
      </c>
      <c r="P14" s="9"/>
      <c r="Q14" s="10">
        <f>IF(C14="","",IF(E14="マイルストーン","MILESTONE",IF(K14&gt;=1,"完了",IF(I14&lt;&gt;"","進行中","未着手"))))</f>
        <v>0</v>
      </c>
    </row>
    <row r="15" spans="1:137">
      <c r="A15" s="9"/>
      <c r="B15" s="9"/>
      <c r="C15" s="9"/>
      <c r="D15" s="9"/>
      <c r="E15" s="9"/>
      <c r="H15" s="7">
        <f>IF(OR(F15="",G15=""),"",WORKDAY.INTL(F15,G15-1,1,休日!$A$4:$A$200))</f>
        <v>0</v>
      </c>
      <c r="L15" s="9"/>
      <c r="M15" s="10">
        <f>IF(OR(F15="",I15=""),"",NETWORKDAYS.INTL(F15,I15-1,1,休日!$A$4:$A$200)-1)</f>
        <v>0</v>
      </c>
      <c r="N15" s="10">
        <f>IF(OR(H15="",J15=""),"",NETWORKDAYS.INTL(H15,J15-1,1,休日!$A$4:$A$200)-1)</f>
        <v>0</v>
      </c>
      <c r="P15" s="9"/>
      <c r="Q15" s="10">
        <f>IF(C15="","",IF(E15="マイルストーン","MILESTONE",IF(K15&gt;=1,"完了",IF(I15&lt;&gt;"","進行中","未着手"))))</f>
        <v>0</v>
      </c>
    </row>
    <row r="16" spans="1:137">
      <c r="A16" s="9"/>
      <c r="B16" s="9"/>
      <c r="C16" s="9"/>
      <c r="D16" s="9"/>
      <c r="E16" s="9"/>
      <c r="H16" s="7">
        <f>IF(OR(F16="",G16=""),"",WORKDAY.INTL(F16,G16-1,1,休日!$A$4:$A$200))</f>
        <v>0</v>
      </c>
      <c r="L16" s="9"/>
      <c r="M16" s="10">
        <f>IF(OR(F16="",I16=""),"",NETWORKDAYS.INTL(F16,I16-1,1,休日!$A$4:$A$200)-1)</f>
        <v>0</v>
      </c>
      <c r="N16" s="10">
        <f>IF(OR(H16="",J16=""),"",NETWORKDAYS.INTL(H16,J16-1,1,休日!$A$4:$A$200)-1)</f>
        <v>0</v>
      </c>
      <c r="P16" s="9"/>
      <c r="Q16" s="10">
        <f>IF(C16="","",IF(E16="マイルストーン","MILESTONE",IF(K16&gt;=1,"完了",IF(I16&lt;&gt;"","進行中","未着手"))))</f>
        <v>0</v>
      </c>
    </row>
    <row r="17" spans="1:17">
      <c r="A17" s="9"/>
      <c r="B17" s="9"/>
      <c r="C17" s="9"/>
      <c r="D17" s="9"/>
      <c r="E17" s="9"/>
      <c r="H17" s="7">
        <f>IF(OR(F17="",G17=""),"",WORKDAY.INTL(F17,G17-1,1,休日!$A$4:$A$200))</f>
        <v>0</v>
      </c>
      <c r="L17" s="9"/>
      <c r="M17" s="10">
        <f>IF(OR(F17="",I17=""),"",NETWORKDAYS.INTL(F17,I17-1,1,休日!$A$4:$A$200)-1)</f>
        <v>0</v>
      </c>
      <c r="N17" s="10">
        <f>IF(OR(H17="",J17=""),"",NETWORKDAYS.INTL(H17,J17-1,1,休日!$A$4:$A$200)-1)</f>
        <v>0</v>
      </c>
      <c r="P17" s="9"/>
      <c r="Q17" s="10">
        <f>IF(C17="","",IF(E17="マイルストーン","MILESTONE",IF(K17&gt;=1,"完了",IF(I17&lt;&gt;"","進行中","未着手"))))</f>
        <v>0</v>
      </c>
    </row>
    <row r="18" spans="1:17">
      <c r="A18" s="9"/>
      <c r="B18" s="9"/>
      <c r="C18" s="9"/>
      <c r="D18" s="9"/>
      <c r="E18" s="9"/>
      <c r="H18" s="7">
        <f>IF(OR(F18="",G18=""),"",WORKDAY.INTL(F18,G18-1,1,休日!$A$4:$A$200))</f>
        <v>0</v>
      </c>
      <c r="L18" s="9"/>
      <c r="M18" s="10">
        <f>IF(OR(F18="",I18=""),"",NETWORKDAYS.INTL(F18,I18-1,1,休日!$A$4:$A$200)-1)</f>
        <v>0</v>
      </c>
      <c r="N18" s="10">
        <f>IF(OR(H18="",J18=""),"",NETWORKDAYS.INTL(H18,J18-1,1,休日!$A$4:$A$200)-1)</f>
        <v>0</v>
      </c>
      <c r="P18" s="9"/>
      <c r="Q18" s="10">
        <f>IF(C18="","",IF(E18="マイルストーン","MILESTONE",IF(K18&gt;=1,"完了",IF(I18&lt;&gt;"","進行中","未着手"))))</f>
        <v>0</v>
      </c>
    </row>
    <row r="19" spans="1:17">
      <c r="A19" s="9"/>
      <c r="B19" s="9"/>
      <c r="C19" s="9"/>
      <c r="D19" s="9"/>
      <c r="E19" s="9"/>
      <c r="H19" s="7">
        <f>IF(OR(F19="",G19=""),"",WORKDAY.INTL(F19,G19-1,1,休日!$A$4:$A$200))</f>
        <v>0</v>
      </c>
      <c r="L19" s="9"/>
      <c r="M19" s="10">
        <f>IF(OR(F19="",I19=""),"",NETWORKDAYS.INTL(F19,I19-1,1,休日!$A$4:$A$200)-1)</f>
        <v>0</v>
      </c>
      <c r="N19" s="10">
        <f>IF(OR(H19="",J19=""),"",NETWORKDAYS.INTL(H19,J19-1,1,休日!$A$4:$A$200)-1)</f>
        <v>0</v>
      </c>
      <c r="P19" s="9"/>
      <c r="Q19" s="10">
        <f>IF(C19="","",IF(E19="マイルストーン","MILESTONE",IF(K19&gt;=1,"完了",IF(I19&lt;&gt;"","進行中","未着手"))))</f>
        <v>0</v>
      </c>
    </row>
    <row r="20" spans="1:17">
      <c r="A20" s="9"/>
      <c r="B20" s="9"/>
      <c r="C20" s="9"/>
      <c r="D20" s="9"/>
      <c r="E20" s="9"/>
      <c r="H20" s="7">
        <f>IF(OR(F20="",G20=""),"",WORKDAY.INTL(F20,G20-1,1,休日!$A$4:$A$200))</f>
        <v>0</v>
      </c>
      <c r="L20" s="9"/>
      <c r="M20" s="10">
        <f>IF(OR(F20="",I20=""),"",NETWORKDAYS.INTL(F20,I20-1,1,休日!$A$4:$A$200)-1)</f>
        <v>0</v>
      </c>
      <c r="N20" s="10">
        <f>IF(OR(H20="",J20=""),"",NETWORKDAYS.INTL(H20,J20-1,1,休日!$A$4:$A$200)-1)</f>
        <v>0</v>
      </c>
      <c r="P20" s="9"/>
      <c r="Q20" s="10">
        <f>IF(C20="","",IF(E20="マイルストーン","MILESTONE",IF(K20&gt;=1,"完了",IF(I20&lt;&gt;"","進行中","未着手"))))</f>
        <v>0</v>
      </c>
    </row>
    <row r="21" spans="1:17">
      <c r="A21" s="9"/>
      <c r="B21" s="9"/>
      <c r="C21" s="9"/>
      <c r="D21" s="9"/>
      <c r="E21" s="9"/>
      <c r="H21" s="7">
        <f>IF(OR(F21="",G21=""),"",WORKDAY.INTL(F21,G21-1,1,休日!$A$4:$A$200))</f>
        <v>0</v>
      </c>
      <c r="L21" s="9"/>
      <c r="M21" s="10">
        <f>IF(OR(F21="",I21=""),"",NETWORKDAYS.INTL(F21,I21-1,1,休日!$A$4:$A$200)-1)</f>
        <v>0</v>
      </c>
      <c r="N21" s="10">
        <f>IF(OR(H21="",J21=""),"",NETWORKDAYS.INTL(H21,J21-1,1,休日!$A$4:$A$200)-1)</f>
        <v>0</v>
      </c>
      <c r="P21" s="9"/>
      <c r="Q21" s="10">
        <f>IF(C21="","",IF(E21="マイルストーン","MILESTONE",IF(K21&gt;=1,"完了",IF(I21&lt;&gt;"","進行中","未着手"))))</f>
        <v>0</v>
      </c>
    </row>
    <row r="22" spans="1:17">
      <c r="A22" s="9"/>
      <c r="B22" s="9"/>
      <c r="C22" s="9"/>
      <c r="D22" s="9"/>
      <c r="E22" s="9"/>
      <c r="H22" s="7">
        <f>IF(OR(F22="",G22=""),"",WORKDAY.INTL(F22,G22-1,1,休日!$A$4:$A$200))</f>
        <v>0</v>
      </c>
      <c r="L22" s="9"/>
      <c r="M22" s="10">
        <f>IF(OR(F22="",I22=""),"",NETWORKDAYS.INTL(F22,I22-1,1,休日!$A$4:$A$200)-1)</f>
        <v>0</v>
      </c>
      <c r="N22" s="10">
        <f>IF(OR(H22="",J22=""),"",NETWORKDAYS.INTL(H22,J22-1,1,休日!$A$4:$A$200)-1)</f>
        <v>0</v>
      </c>
      <c r="P22" s="9"/>
      <c r="Q22" s="10">
        <f>IF(C22="","",IF(E22="マイルストーン","MILESTONE",IF(K22&gt;=1,"完了",IF(I22&lt;&gt;"","進行中","未着手"))))</f>
        <v>0</v>
      </c>
    </row>
    <row r="23" spans="1:17">
      <c r="A23" s="9"/>
      <c r="B23" s="9"/>
      <c r="C23" s="9"/>
      <c r="D23" s="9"/>
      <c r="E23" s="9"/>
      <c r="H23" s="7">
        <f>IF(OR(F23="",G23=""),"",WORKDAY.INTL(F23,G23-1,1,休日!$A$4:$A$200))</f>
        <v>0</v>
      </c>
      <c r="L23" s="9"/>
      <c r="M23" s="10">
        <f>IF(OR(F23="",I23=""),"",NETWORKDAYS.INTL(F23,I23-1,1,休日!$A$4:$A$200)-1)</f>
        <v>0</v>
      </c>
      <c r="N23" s="10">
        <f>IF(OR(H23="",J23=""),"",NETWORKDAYS.INTL(H23,J23-1,1,休日!$A$4:$A$200)-1)</f>
        <v>0</v>
      </c>
      <c r="P23" s="9"/>
      <c r="Q23" s="10">
        <f>IF(C23="","",IF(E23="マイルストーン","MILESTONE",IF(K23&gt;=1,"完了",IF(I23&lt;&gt;"","進行中","未着手"))))</f>
        <v>0</v>
      </c>
    </row>
    <row r="24" spans="1:17">
      <c r="A24" s="9"/>
      <c r="B24" s="9"/>
      <c r="C24" s="9"/>
      <c r="D24" s="9"/>
      <c r="E24" s="9"/>
      <c r="H24" s="7">
        <f>IF(OR(F24="",G24=""),"",WORKDAY.INTL(F24,G24-1,1,休日!$A$4:$A$200))</f>
        <v>0</v>
      </c>
      <c r="L24" s="9"/>
      <c r="M24" s="10">
        <f>IF(OR(F24="",I24=""),"",NETWORKDAYS.INTL(F24,I24-1,1,休日!$A$4:$A$200)-1)</f>
        <v>0</v>
      </c>
      <c r="N24" s="10">
        <f>IF(OR(H24="",J24=""),"",NETWORKDAYS.INTL(H24,J24-1,1,休日!$A$4:$A$200)-1)</f>
        <v>0</v>
      </c>
      <c r="P24" s="9"/>
      <c r="Q24" s="10">
        <f>IF(C24="","",IF(E24="マイルストーン","MILESTONE",IF(K24&gt;=1,"完了",IF(I24&lt;&gt;"","進行中","未着手"))))</f>
        <v>0</v>
      </c>
    </row>
    <row r="25" spans="1:17">
      <c r="A25" s="9"/>
      <c r="B25" s="9"/>
      <c r="C25" s="9"/>
      <c r="D25" s="9"/>
      <c r="E25" s="9"/>
      <c r="H25" s="7">
        <f>IF(OR(F25="",G25=""),"",WORKDAY.INTL(F25,G25-1,1,休日!$A$4:$A$200))</f>
        <v>0</v>
      </c>
      <c r="L25" s="9"/>
      <c r="M25" s="10">
        <f>IF(OR(F25="",I25=""),"",NETWORKDAYS.INTL(F25,I25-1,1,休日!$A$4:$A$200)-1)</f>
        <v>0</v>
      </c>
      <c r="N25" s="10">
        <f>IF(OR(H25="",J25=""),"",NETWORKDAYS.INTL(H25,J25-1,1,休日!$A$4:$A$200)-1)</f>
        <v>0</v>
      </c>
      <c r="P25" s="9"/>
      <c r="Q25" s="10">
        <f>IF(C25="","",IF(E25="マイルストーン","MILESTONE",IF(K25&gt;=1,"完了",IF(I25&lt;&gt;"","進行中","未着手"))))</f>
        <v>0</v>
      </c>
    </row>
    <row r="26" spans="1:17">
      <c r="A26" s="9"/>
      <c r="B26" s="9"/>
      <c r="C26" s="9"/>
      <c r="D26" s="9"/>
      <c r="E26" s="9"/>
      <c r="H26" s="7">
        <f>IF(OR(F26="",G26=""),"",WORKDAY.INTL(F26,G26-1,1,休日!$A$4:$A$200))</f>
        <v>0</v>
      </c>
      <c r="L26" s="9"/>
      <c r="M26" s="10">
        <f>IF(OR(F26="",I26=""),"",NETWORKDAYS.INTL(F26,I26-1,1,休日!$A$4:$A$200)-1)</f>
        <v>0</v>
      </c>
      <c r="N26" s="10">
        <f>IF(OR(H26="",J26=""),"",NETWORKDAYS.INTL(H26,J26-1,1,休日!$A$4:$A$200)-1)</f>
        <v>0</v>
      </c>
      <c r="P26" s="9"/>
      <c r="Q26" s="10">
        <f>IF(C26="","",IF(E26="マイルストーン","MILESTONE",IF(K26&gt;=1,"完了",IF(I26&lt;&gt;"","進行中","未着手"))))</f>
        <v>0</v>
      </c>
    </row>
    <row r="27" spans="1:17">
      <c r="A27" s="9"/>
      <c r="B27" s="9"/>
      <c r="C27" s="9"/>
      <c r="D27" s="9"/>
      <c r="E27" s="9"/>
      <c r="H27" s="7">
        <f>IF(OR(F27="",G27=""),"",WORKDAY.INTL(F27,G27-1,1,休日!$A$4:$A$200))</f>
        <v>0</v>
      </c>
      <c r="L27" s="9"/>
      <c r="M27" s="10">
        <f>IF(OR(F27="",I27=""),"",NETWORKDAYS.INTL(F27,I27-1,1,休日!$A$4:$A$200)-1)</f>
        <v>0</v>
      </c>
      <c r="N27" s="10">
        <f>IF(OR(H27="",J27=""),"",NETWORKDAYS.INTL(H27,J27-1,1,休日!$A$4:$A$200)-1)</f>
        <v>0</v>
      </c>
      <c r="P27" s="9"/>
      <c r="Q27" s="10">
        <f>IF(C27="","",IF(E27="マイルストーン","MILESTONE",IF(K27&gt;=1,"完了",IF(I27&lt;&gt;"","進行中","未着手"))))</f>
        <v>0</v>
      </c>
    </row>
    <row r="28" spans="1:17">
      <c r="A28" s="9"/>
      <c r="B28" s="9"/>
      <c r="C28" s="9"/>
      <c r="D28" s="9"/>
      <c r="E28" s="9"/>
      <c r="H28" s="7">
        <f>IF(OR(F28="",G28=""),"",WORKDAY.INTL(F28,G28-1,1,休日!$A$4:$A$200))</f>
        <v>0</v>
      </c>
      <c r="L28" s="9"/>
      <c r="M28" s="10">
        <f>IF(OR(F28="",I28=""),"",NETWORKDAYS.INTL(F28,I28-1,1,休日!$A$4:$A$200)-1)</f>
        <v>0</v>
      </c>
      <c r="N28" s="10">
        <f>IF(OR(H28="",J28=""),"",NETWORKDAYS.INTL(H28,J28-1,1,休日!$A$4:$A$200)-1)</f>
        <v>0</v>
      </c>
      <c r="P28" s="9"/>
      <c r="Q28" s="10">
        <f>IF(C28="","",IF(E28="マイルストーン","MILESTONE",IF(K28&gt;=1,"完了",IF(I28&lt;&gt;"","進行中","未着手"))))</f>
        <v>0</v>
      </c>
    </row>
    <row r="29" spans="1:17">
      <c r="A29" s="9"/>
      <c r="B29" s="9"/>
      <c r="C29" s="9"/>
      <c r="D29" s="9"/>
      <c r="E29" s="9"/>
      <c r="H29" s="7">
        <f>IF(OR(F29="",G29=""),"",WORKDAY.INTL(F29,G29-1,1,休日!$A$4:$A$200))</f>
        <v>0</v>
      </c>
      <c r="L29" s="9"/>
      <c r="M29" s="10">
        <f>IF(OR(F29="",I29=""),"",NETWORKDAYS.INTL(F29,I29-1,1,休日!$A$4:$A$200)-1)</f>
        <v>0</v>
      </c>
      <c r="N29" s="10">
        <f>IF(OR(H29="",J29=""),"",NETWORKDAYS.INTL(H29,J29-1,1,休日!$A$4:$A$200)-1)</f>
        <v>0</v>
      </c>
      <c r="P29" s="9"/>
      <c r="Q29" s="10">
        <f>IF(C29="","",IF(E29="マイルストーン","MILESTONE",IF(K29&gt;=1,"完了",IF(I29&lt;&gt;"","進行中","未着手"))))</f>
        <v>0</v>
      </c>
    </row>
    <row r="30" spans="1:17">
      <c r="A30" s="9"/>
      <c r="B30" s="9"/>
      <c r="C30" s="9"/>
      <c r="D30" s="9"/>
      <c r="E30" s="9"/>
      <c r="H30" s="7">
        <f>IF(OR(F30="",G30=""),"",WORKDAY.INTL(F30,G30-1,1,休日!$A$4:$A$200))</f>
        <v>0</v>
      </c>
      <c r="L30" s="9"/>
      <c r="M30" s="10">
        <f>IF(OR(F30="",I30=""),"",NETWORKDAYS.INTL(F30,I30-1,1,休日!$A$4:$A$200)-1)</f>
        <v>0</v>
      </c>
      <c r="N30" s="10">
        <f>IF(OR(H30="",J30=""),"",NETWORKDAYS.INTL(H30,J30-1,1,休日!$A$4:$A$200)-1)</f>
        <v>0</v>
      </c>
      <c r="P30" s="9"/>
      <c r="Q30" s="10">
        <f>IF(C30="","",IF(E30="マイルストーン","MILESTONE",IF(K30&gt;=1,"完了",IF(I30&lt;&gt;"","進行中","未着手"))))</f>
        <v>0</v>
      </c>
    </row>
    <row r="31" spans="1:17">
      <c r="A31" s="9"/>
      <c r="B31" s="9"/>
      <c r="C31" s="9"/>
      <c r="D31" s="9"/>
      <c r="E31" s="9"/>
      <c r="H31" s="7">
        <f>IF(OR(F31="",G31=""),"",WORKDAY.INTL(F31,G31-1,1,休日!$A$4:$A$200))</f>
        <v>0</v>
      </c>
      <c r="L31" s="9"/>
      <c r="M31" s="10">
        <f>IF(OR(F31="",I31=""),"",NETWORKDAYS.INTL(F31,I31-1,1,休日!$A$4:$A$200)-1)</f>
        <v>0</v>
      </c>
      <c r="N31" s="10">
        <f>IF(OR(H31="",J31=""),"",NETWORKDAYS.INTL(H31,J31-1,1,休日!$A$4:$A$200)-1)</f>
        <v>0</v>
      </c>
      <c r="P31" s="9"/>
      <c r="Q31" s="10">
        <f>IF(C31="","",IF(E31="マイルストーン","MILESTONE",IF(K31&gt;=1,"完了",IF(I31&lt;&gt;"","進行中","未着手"))))</f>
        <v>0</v>
      </c>
    </row>
    <row r="32" spans="1:17">
      <c r="A32" s="9"/>
      <c r="B32" s="9"/>
      <c r="C32" s="9"/>
      <c r="D32" s="9"/>
      <c r="E32" s="9"/>
      <c r="H32" s="7">
        <f>IF(OR(F32="",G32=""),"",WORKDAY.INTL(F32,G32-1,1,休日!$A$4:$A$200))</f>
        <v>0</v>
      </c>
      <c r="L32" s="9"/>
      <c r="M32" s="10">
        <f>IF(OR(F32="",I32=""),"",NETWORKDAYS.INTL(F32,I32-1,1,休日!$A$4:$A$200)-1)</f>
        <v>0</v>
      </c>
      <c r="N32" s="10">
        <f>IF(OR(H32="",J32=""),"",NETWORKDAYS.INTL(H32,J32-1,1,休日!$A$4:$A$200)-1)</f>
        <v>0</v>
      </c>
      <c r="P32" s="9"/>
      <c r="Q32" s="10">
        <f>IF(C32="","",IF(E32="マイルストーン","MILESTONE",IF(K32&gt;=1,"完了",IF(I32&lt;&gt;"","進行中","未着手"))))</f>
        <v>0</v>
      </c>
    </row>
    <row r="33" spans="1:17">
      <c r="A33" s="9"/>
      <c r="B33" s="9"/>
      <c r="C33" s="9"/>
      <c r="D33" s="9"/>
      <c r="E33" s="9"/>
      <c r="H33" s="7">
        <f>IF(OR(F33="",G33=""),"",WORKDAY.INTL(F33,G33-1,1,休日!$A$4:$A$200))</f>
        <v>0</v>
      </c>
      <c r="L33" s="9"/>
      <c r="M33" s="10">
        <f>IF(OR(F33="",I33=""),"",NETWORKDAYS.INTL(F33,I33-1,1,休日!$A$4:$A$200)-1)</f>
        <v>0</v>
      </c>
      <c r="N33" s="10">
        <f>IF(OR(H33="",J33=""),"",NETWORKDAYS.INTL(H33,J33-1,1,休日!$A$4:$A$200)-1)</f>
        <v>0</v>
      </c>
      <c r="P33" s="9"/>
      <c r="Q33" s="10">
        <f>IF(C33="","",IF(E33="マイルストーン","MILESTONE",IF(K33&gt;=1,"完了",IF(I33&lt;&gt;"","進行中","未着手"))))</f>
        <v>0</v>
      </c>
    </row>
    <row r="34" spans="1:17">
      <c r="A34" s="9"/>
      <c r="B34" s="9"/>
      <c r="C34" s="9"/>
      <c r="D34" s="9"/>
      <c r="E34" s="9"/>
      <c r="H34" s="7">
        <f>IF(OR(F34="",G34=""),"",WORKDAY.INTL(F34,G34-1,1,休日!$A$4:$A$200))</f>
        <v>0</v>
      </c>
      <c r="L34" s="9"/>
      <c r="M34" s="10">
        <f>IF(OR(F34="",I34=""),"",NETWORKDAYS.INTL(F34,I34-1,1,休日!$A$4:$A$200)-1)</f>
        <v>0</v>
      </c>
      <c r="N34" s="10">
        <f>IF(OR(H34="",J34=""),"",NETWORKDAYS.INTL(H34,J34-1,1,休日!$A$4:$A$200)-1)</f>
        <v>0</v>
      </c>
      <c r="P34" s="9"/>
      <c r="Q34" s="10">
        <f>IF(C34="","",IF(E34="マイルストーン","MILESTONE",IF(K34&gt;=1,"完了",IF(I34&lt;&gt;"","進行中","未着手"))))</f>
        <v>0</v>
      </c>
    </row>
    <row r="35" spans="1:17">
      <c r="A35" s="9"/>
      <c r="B35" s="9"/>
      <c r="C35" s="9"/>
      <c r="D35" s="9"/>
      <c r="E35" s="9"/>
      <c r="H35" s="7">
        <f>IF(OR(F35="",G35=""),"",WORKDAY.INTL(F35,G35-1,1,休日!$A$4:$A$200))</f>
        <v>0</v>
      </c>
      <c r="L35" s="9"/>
      <c r="M35" s="10">
        <f>IF(OR(F35="",I35=""),"",NETWORKDAYS.INTL(F35,I35-1,1,休日!$A$4:$A$200)-1)</f>
        <v>0</v>
      </c>
      <c r="N35" s="10">
        <f>IF(OR(H35="",J35=""),"",NETWORKDAYS.INTL(H35,J35-1,1,休日!$A$4:$A$200)-1)</f>
        <v>0</v>
      </c>
      <c r="P35" s="9"/>
      <c r="Q35" s="10">
        <f>IF(C35="","",IF(E35="マイルストーン","MILESTONE",IF(K35&gt;=1,"完了",IF(I35&lt;&gt;"","進行中","未着手"))))</f>
        <v>0</v>
      </c>
    </row>
    <row r="36" spans="1:17">
      <c r="A36" s="9"/>
      <c r="B36" s="9"/>
      <c r="C36" s="9"/>
      <c r="D36" s="9"/>
      <c r="E36" s="9"/>
      <c r="H36" s="7">
        <f>IF(OR(F36="",G36=""),"",WORKDAY.INTL(F36,G36-1,1,休日!$A$4:$A$200))</f>
        <v>0</v>
      </c>
      <c r="L36" s="9"/>
      <c r="M36" s="10">
        <f>IF(OR(F36="",I36=""),"",NETWORKDAYS.INTL(F36,I36-1,1,休日!$A$4:$A$200)-1)</f>
        <v>0</v>
      </c>
      <c r="N36" s="10">
        <f>IF(OR(H36="",J36=""),"",NETWORKDAYS.INTL(H36,J36-1,1,休日!$A$4:$A$200)-1)</f>
        <v>0</v>
      </c>
      <c r="P36" s="9"/>
      <c r="Q36" s="10">
        <f>IF(C36="","",IF(E36="マイルストーン","MILESTONE",IF(K36&gt;=1,"完了",IF(I36&lt;&gt;"","進行中","未着手"))))</f>
        <v>0</v>
      </c>
    </row>
    <row r="37" spans="1:17">
      <c r="A37" s="9"/>
      <c r="B37" s="9"/>
      <c r="C37" s="9"/>
      <c r="D37" s="9"/>
      <c r="E37" s="9"/>
      <c r="H37" s="7">
        <f>IF(OR(F37="",G37=""),"",WORKDAY.INTL(F37,G37-1,1,休日!$A$4:$A$200))</f>
        <v>0</v>
      </c>
      <c r="L37" s="9"/>
      <c r="M37" s="10">
        <f>IF(OR(F37="",I37=""),"",NETWORKDAYS.INTL(F37,I37-1,1,休日!$A$4:$A$200)-1)</f>
        <v>0</v>
      </c>
      <c r="N37" s="10">
        <f>IF(OR(H37="",J37=""),"",NETWORKDAYS.INTL(H37,J37-1,1,休日!$A$4:$A$200)-1)</f>
        <v>0</v>
      </c>
      <c r="P37" s="9"/>
      <c r="Q37" s="10">
        <f>IF(C37="","",IF(E37="マイルストーン","MILESTONE",IF(K37&gt;=1,"完了",IF(I37&lt;&gt;"","進行中","未着手"))))</f>
        <v>0</v>
      </c>
    </row>
    <row r="38" spans="1:17">
      <c r="A38" s="9"/>
      <c r="B38" s="9"/>
      <c r="C38" s="9"/>
      <c r="D38" s="9"/>
      <c r="E38" s="9"/>
      <c r="H38" s="7">
        <f>IF(OR(F38="",G38=""),"",WORKDAY.INTL(F38,G38-1,1,休日!$A$4:$A$200))</f>
        <v>0</v>
      </c>
      <c r="L38" s="9"/>
      <c r="M38" s="10">
        <f>IF(OR(F38="",I38=""),"",NETWORKDAYS.INTL(F38,I38-1,1,休日!$A$4:$A$200)-1)</f>
        <v>0</v>
      </c>
      <c r="N38" s="10">
        <f>IF(OR(H38="",J38=""),"",NETWORKDAYS.INTL(H38,J38-1,1,休日!$A$4:$A$200)-1)</f>
        <v>0</v>
      </c>
      <c r="P38" s="9"/>
      <c r="Q38" s="10">
        <f>IF(C38="","",IF(E38="マイルストーン","MILESTONE",IF(K38&gt;=1,"完了",IF(I38&lt;&gt;"","進行中","未着手"))))</f>
        <v>0</v>
      </c>
    </row>
    <row r="39" spans="1:17">
      <c r="A39" s="9"/>
      <c r="B39" s="9"/>
      <c r="C39" s="9"/>
      <c r="D39" s="9"/>
      <c r="E39" s="9"/>
      <c r="H39" s="7">
        <f>IF(OR(F39="",G39=""),"",WORKDAY.INTL(F39,G39-1,1,休日!$A$4:$A$200))</f>
        <v>0</v>
      </c>
      <c r="L39" s="9"/>
      <c r="M39" s="10">
        <f>IF(OR(F39="",I39=""),"",NETWORKDAYS.INTL(F39,I39-1,1,休日!$A$4:$A$200)-1)</f>
        <v>0</v>
      </c>
      <c r="N39" s="10">
        <f>IF(OR(H39="",J39=""),"",NETWORKDAYS.INTL(H39,J39-1,1,休日!$A$4:$A$200)-1)</f>
        <v>0</v>
      </c>
      <c r="P39" s="9"/>
      <c r="Q39" s="10">
        <f>IF(C39="","",IF(E39="マイルストーン","MILESTONE",IF(K39&gt;=1,"完了",IF(I39&lt;&gt;"","進行中","未着手"))))</f>
        <v>0</v>
      </c>
    </row>
    <row r="40" spans="1:17">
      <c r="A40" s="9"/>
      <c r="B40" s="9"/>
      <c r="C40" s="9"/>
      <c r="D40" s="9"/>
      <c r="E40" s="9"/>
      <c r="H40" s="7">
        <f>IF(OR(F40="",G40=""),"",WORKDAY.INTL(F40,G40-1,1,休日!$A$4:$A$200))</f>
        <v>0</v>
      </c>
      <c r="L40" s="9"/>
      <c r="M40" s="10">
        <f>IF(OR(F40="",I40=""),"",NETWORKDAYS.INTL(F40,I40-1,1,休日!$A$4:$A$200)-1)</f>
        <v>0</v>
      </c>
      <c r="N40" s="10">
        <f>IF(OR(H40="",J40=""),"",NETWORKDAYS.INTL(H40,J40-1,1,休日!$A$4:$A$200)-1)</f>
        <v>0</v>
      </c>
      <c r="P40" s="9"/>
      <c r="Q40" s="10">
        <f>IF(C40="","",IF(E40="マイルストーン","MILESTONE",IF(K40&gt;=1,"完了",IF(I40&lt;&gt;"","進行中","未着手"))))</f>
        <v>0</v>
      </c>
    </row>
    <row r="41" spans="1:17">
      <c r="A41" s="9"/>
      <c r="B41" s="9"/>
      <c r="C41" s="9"/>
      <c r="D41" s="9"/>
      <c r="E41" s="9"/>
      <c r="H41" s="7">
        <f>IF(OR(F41="",G41=""),"",WORKDAY.INTL(F41,G41-1,1,休日!$A$4:$A$200))</f>
        <v>0</v>
      </c>
      <c r="L41" s="9"/>
      <c r="M41" s="10">
        <f>IF(OR(F41="",I41=""),"",NETWORKDAYS.INTL(F41,I41-1,1,休日!$A$4:$A$200)-1)</f>
        <v>0</v>
      </c>
      <c r="N41" s="10">
        <f>IF(OR(H41="",J41=""),"",NETWORKDAYS.INTL(H41,J41-1,1,休日!$A$4:$A$200)-1)</f>
        <v>0</v>
      </c>
      <c r="P41" s="9"/>
      <c r="Q41" s="10">
        <f>IF(C41="","",IF(E41="マイルストーン","MILESTONE",IF(K41&gt;=1,"完了",IF(I41&lt;&gt;"","進行中","未着手"))))</f>
        <v>0</v>
      </c>
    </row>
    <row r="42" spans="1:17">
      <c r="A42" s="9"/>
      <c r="B42" s="9"/>
      <c r="C42" s="9"/>
      <c r="D42" s="9"/>
      <c r="E42" s="9"/>
      <c r="H42" s="7">
        <f>IF(OR(F42="",G42=""),"",WORKDAY.INTL(F42,G42-1,1,休日!$A$4:$A$200))</f>
        <v>0</v>
      </c>
      <c r="L42" s="9"/>
      <c r="M42" s="10">
        <f>IF(OR(F42="",I42=""),"",NETWORKDAYS.INTL(F42,I42-1,1,休日!$A$4:$A$200)-1)</f>
        <v>0</v>
      </c>
      <c r="N42" s="10">
        <f>IF(OR(H42="",J42=""),"",NETWORKDAYS.INTL(H42,J42-1,1,休日!$A$4:$A$200)-1)</f>
        <v>0</v>
      </c>
      <c r="P42" s="9"/>
      <c r="Q42" s="10">
        <f>IF(C42="","",IF(E42="マイルストーン","MILESTONE",IF(K42&gt;=1,"完了",IF(I42&lt;&gt;"","進行中","未着手"))))</f>
        <v>0</v>
      </c>
    </row>
    <row r="43" spans="1:17">
      <c r="A43" s="9"/>
      <c r="B43" s="9"/>
      <c r="C43" s="9"/>
      <c r="D43" s="9"/>
      <c r="E43" s="9"/>
      <c r="H43" s="7">
        <f>IF(OR(F43="",G43=""),"",WORKDAY.INTL(F43,G43-1,1,休日!$A$4:$A$200))</f>
        <v>0</v>
      </c>
      <c r="L43" s="9"/>
      <c r="M43" s="10">
        <f>IF(OR(F43="",I43=""),"",NETWORKDAYS.INTL(F43,I43-1,1,休日!$A$4:$A$200)-1)</f>
        <v>0</v>
      </c>
      <c r="N43" s="10">
        <f>IF(OR(H43="",J43=""),"",NETWORKDAYS.INTL(H43,J43-1,1,休日!$A$4:$A$200)-1)</f>
        <v>0</v>
      </c>
      <c r="P43" s="9"/>
      <c r="Q43" s="10">
        <f>IF(C43="","",IF(E43="マイルストーン","MILESTONE",IF(K43&gt;=1,"完了",IF(I43&lt;&gt;"","進行中","未着手"))))</f>
        <v>0</v>
      </c>
    </row>
    <row r="44" spans="1:17">
      <c r="A44" s="9"/>
      <c r="B44" s="9"/>
      <c r="C44" s="9"/>
      <c r="D44" s="9"/>
      <c r="E44" s="9"/>
      <c r="H44" s="7">
        <f>IF(OR(F44="",G44=""),"",WORKDAY.INTL(F44,G44-1,1,休日!$A$4:$A$200))</f>
        <v>0</v>
      </c>
      <c r="L44" s="9"/>
      <c r="M44" s="10">
        <f>IF(OR(F44="",I44=""),"",NETWORKDAYS.INTL(F44,I44-1,1,休日!$A$4:$A$200)-1)</f>
        <v>0</v>
      </c>
      <c r="N44" s="10">
        <f>IF(OR(H44="",J44=""),"",NETWORKDAYS.INTL(H44,J44-1,1,休日!$A$4:$A$200)-1)</f>
        <v>0</v>
      </c>
      <c r="P44" s="9"/>
      <c r="Q44" s="10">
        <f>IF(C44="","",IF(E44="マイルストーン","MILESTONE",IF(K44&gt;=1,"完了",IF(I44&lt;&gt;"","進行中","未着手"))))</f>
        <v>0</v>
      </c>
    </row>
    <row r="45" spans="1:17">
      <c r="A45" s="9"/>
      <c r="B45" s="9"/>
      <c r="C45" s="9"/>
      <c r="D45" s="9"/>
      <c r="E45" s="9"/>
      <c r="H45" s="7">
        <f>IF(OR(F45="",G45=""),"",WORKDAY.INTL(F45,G45-1,1,休日!$A$4:$A$200))</f>
        <v>0</v>
      </c>
      <c r="L45" s="9"/>
      <c r="M45" s="10">
        <f>IF(OR(F45="",I45=""),"",NETWORKDAYS.INTL(F45,I45-1,1,休日!$A$4:$A$200)-1)</f>
        <v>0</v>
      </c>
      <c r="N45" s="10">
        <f>IF(OR(H45="",J45=""),"",NETWORKDAYS.INTL(H45,J45-1,1,休日!$A$4:$A$200)-1)</f>
        <v>0</v>
      </c>
      <c r="P45" s="9"/>
      <c r="Q45" s="10">
        <f>IF(C45="","",IF(E45="マイルストーン","MILESTONE",IF(K45&gt;=1,"完了",IF(I45&lt;&gt;"","進行中","未着手"))))</f>
        <v>0</v>
      </c>
    </row>
    <row r="46" spans="1:17">
      <c r="A46" s="9"/>
      <c r="B46" s="9"/>
      <c r="C46" s="9"/>
      <c r="D46" s="9"/>
      <c r="E46" s="9"/>
      <c r="H46" s="7">
        <f>IF(OR(F46="",G46=""),"",WORKDAY.INTL(F46,G46-1,1,休日!$A$4:$A$200))</f>
        <v>0</v>
      </c>
      <c r="L46" s="9"/>
      <c r="M46" s="10">
        <f>IF(OR(F46="",I46=""),"",NETWORKDAYS.INTL(F46,I46-1,1,休日!$A$4:$A$200)-1)</f>
        <v>0</v>
      </c>
      <c r="N46" s="10">
        <f>IF(OR(H46="",J46=""),"",NETWORKDAYS.INTL(H46,J46-1,1,休日!$A$4:$A$200)-1)</f>
        <v>0</v>
      </c>
      <c r="P46" s="9"/>
      <c r="Q46" s="10">
        <f>IF(C46="","",IF(E46="マイルストーン","MILESTONE",IF(K46&gt;=1,"完了",IF(I46&lt;&gt;"","進行中","未着手"))))</f>
        <v>0</v>
      </c>
    </row>
    <row r="47" spans="1:17">
      <c r="A47" s="9"/>
      <c r="B47" s="9"/>
      <c r="C47" s="9"/>
      <c r="D47" s="9"/>
      <c r="E47" s="9"/>
      <c r="H47" s="7">
        <f>IF(OR(F47="",G47=""),"",WORKDAY.INTL(F47,G47-1,1,休日!$A$4:$A$200))</f>
        <v>0</v>
      </c>
      <c r="L47" s="9"/>
      <c r="M47" s="10">
        <f>IF(OR(F47="",I47=""),"",NETWORKDAYS.INTL(F47,I47-1,1,休日!$A$4:$A$200)-1)</f>
        <v>0</v>
      </c>
      <c r="N47" s="10">
        <f>IF(OR(H47="",J47=""),"",NETWORKDAYS.INTL(H47,J47-1,1,休日!$A$4:$A$200)-1)</f>
        <v>0</v>
      </c>
      <c r="P47" s="9"/>
      <c r="Q47" s="10">
        <f>IF(C47="","",IF(E47="マイルストーン","MILESTONE",IF(K47&gt;=1,"完了",IF(I47&lt;&gt;"","進行中","未着手"))))</f>
        <v>0</v>
      </c>
    </row>
    <row r="48" spans="1:17">
      <c r="A48" s="9"/>
      <c r="B48" s="9"/>
      <c r="C48" s="9"/>
      <c r="D48" s="9"/>
      <c r="E48" s="9"/>
      <c r="H48" s="7">
        <f>IF(OR(F48="",G48=""),"",WORKDAY.INTL(F48,G48-1,1,休日!$A$4:$A$200))</f>
        <v>0</v>
      </c>
      <c r="L48" s="9"/>
      <c r="M48" s="10">
        <f>IF(OR(F48="",I48=""),"",NETWORKDAYS.INTL(F48,I48-1,1,休日!$A$4:$A$200)-1)</f>
        <v>0</v>
      </c>
      <c r="N48" s="10">
        <f>IF(OR(H48="",J48=""),"",NETWORKDAYS.INTL(H48,J48-1,1,休日!$A$4:$A$200)-1)</f>
        <v>0</v>
      </c>
      <c r="P48" s="9"/>
      <c r="Q48" s="10">
        <f>IF(C48="","",IF(E48="マイルストーン","MILESTONE",IF(K48&gt;=1,"完了",IF(I48&lt;&gt;"","進行中","未着手"))))</f>
        <v>0</v>
      </c>
    </row>
    <row r="49" spans="1:17">
      <c r="A49" s="9"/>
      <c r="B49" s="9"/>
      <c r="C49" s="9"/>
      <c r="D49" s="9"/>
      <c r="E49" s="9"/>
      <c r="H49" s="7">
        <f>IF(OR(F49="",G49=""),"",WORKDAY.INTL(F49,G49-1,1,休日!$A$4:$A$200))</f>
        <v>0</v>
      </c>
      <c r="L49" s="9"/>
      <c r="M49" s="10">
        <f>IF(OR(F49="",I49=""),"",NETWORKDAYS.INTL(F49,I49-1,1,休日!$A$4:$A$200)-1)</f>
        <v>0</v>
      </c>
      <c r="N49" s="10">
        <f>IF(OR(H49="",J49=""),"",NETWORKDAYS.INTL(H49,J49-1,1,休日!$A$4:$A$200)-1)</f>
        <v>0</v>
      </c>
      <c r="P49" s="9"/>
      <c r="Q49" s="10">
        <f>IF(C49="","",IF(E49="マイルストーン","MILESTONE",IF(K49&gt;=1,"完了",IF(I49&lt;&gt;"","進行中","未着手"))))</f>
        <v>0</v>
      </c>
    </row>
    <row r="50" spans="1:17">
      <c r="A50" s="9"/>
      <c r="B50" s="9"/>
      <c r="C50" s="9"/>
      <c r="D50" s="9"/>
      <c r="E50" s="9"/>
      <c r="H50" s="7">
        <f>IF(OR(F50="",G50=""),"",WORKDAY.INTL(F50,G50-1,1,休日!$A$4:$A$200))</f>
        <v>0</v>
      </c>
      <c r="L50" s="9"/>
      <c r="M50" s="10">
        <f>IF(OR(F50="",I50=""),"",NETWORKDAYS.INTL(F50,I50-1,1,休日!$A$4:$A$200)-1)</f>
        <v>0</v>
      </c>
      <c r="N50" s="10">
        <f>IF(OR(H50="",J50=""),"",NETWORKDAYS.INTL(H50,J50-1,1,休日!$A$4:$A$200)-1)</f>
        <v>0</v>
      </c>
      <c r="P50" s="9"/>
      <c r="Q50" s="10">
        <f>IF(C50="","",IF(E50="マイルストーン","MILESTONE",IF(K50&gt;=1,"完了",IF(I50&lt;&gt;"","進行中","未着手"))))</f>
        <v>0</v>
      </c>
    </row>
    <row r="51" spans="1:17">
      <c r="A51" s="9"/>
      <c r="B51" s="9"/>
      <c r="C51" s="9"/>
      <c r="D51" s="9"/>
      <c r="E51" s="9"/>
      <c r="H51" s="7">
        <f>IF(OR(F51="",G51=""),"",WORKDAY.INTL(F51,G51-1,1,休日!$A$4:$A$200))</f>
        <v>0</v>
      </c>
      <c r="L51" s="9"/>
      <c r="M51" s="10">
        <f>IF(OR(F51="",I51=""),"",NETWORKDAYS.INTL(F51,I51-1,1,休日!$A$4:$A$200)-1)</f>
        <v>0</v>
      </c>
      <c r="N51" s="10">
        <f>IF(OR(H51="",J51=""),"",NETWORKDAYS.INTL(H51,J51-1,1,休日!$A$4:$A$200)-1)</f>
        <v>0</v>
      </c>
      <c r="P51" s="9"/>
      <c r="Q51" s="10">
        <f>IF(C51="","",IF(E51="マイルストーン","MILESTONE",IF(K51&gt;=1,"完了",IF(I51&lt;&gt;"","進行中","未着手"))))</f>
        <v>0</v>
      </c>
    </row>
    <row r="52" spans="1:17">
      <c r="A52" s="9"/>
      <c r="B52" s="9"/>
      <c r="C52" s="9"/>
      <c r="D52" s="9"/>
      <c r="E52" s="9"/>
      <c r="H52" s="7">
        <f>IF(OR(F52="",G52=""),"",WORKDAY.INTL(F52,G52-1,1,休日!$A$4:$A$200))</f>
        <v>0</v>
      </c>
      <c r="L52" s="9"/>
      <c r="M52" s="10">
        <f>IF(OR(F52="",I52=""),"",NETWORKDAYS.INTL(F52,I52-1,1,休日!$A$4:$A$200)-1)</f>
        <v>0</v>
      </c>
      <c r="N52" s="10">
        <f>IF(OR(H52="",J52=""),"",NETWORKDAYS.INTL(H52,J52-1,1,休日!$A$4:$A$200)-1)</f>
        <v>0</v>
      </c>
      <c r="P52" s="9"/>
      <c r="Q52" s="10">
        <f>IF(C52="","",IF(E52="マイルストーン","MILESTONE",IF(K52&gt;=1,"完了",IF(I52&lt;&gt;"","進行中","未着手"))))</f>
        <v>0</v>
      </c>
    </row>
    <row r="53" spans="1:17">
      <c r="A53" s="9"/>
      <c r="B53" s="9"/>
      <c r="C53" s="9"/>
      <c r="D53" s="9"/>
      <c r="E53" s="9"/>
      <c r="H53" s="7">
        <f>IF(OR(F53="",G53=""),"",WORKDAY.INTL(F53,G53-1,1,休日!$A$4:$A$200))</f>
        <v>0</v>
      </c>
      <c r="L53" s="9"/>
      <c r="M53" s="10">
        <f>IF(OR(F53="",I53=""),"",NETWORKDAYS.INTL(F53,I53-1,1,休日!$A$4:$A$200)-1)</f>
        <v>0</v>
      </c>
      <c r="N53" s="10">
        <f>IF(OR(H53="",J53=""),"",NETWORKDAYS.INTL(H53,J53-1,1,休日!$A$4:$A$200)-1)</f>
        <v>0</v>
      </c>
      <c r="P53" s="9"/>
      <c r="Q53" s="10">
        <f>IF(C53="","",IF(E53="マイルストーン","MILESTONE",IF(K53&gt;=1,"完了",IF(I53&lt;&gt;"","進行中","未着手"))))</f>
        <v>0</v>
      </c>
    </row>
    <row r="54" spans="1:17">
      <c r="A54" s="9"/>
      <c r="B54" s="9"/>
      <c r="C54" s="9"/>
      <c r="D54" s="9"/>
      <c r="E54" s="9"/>
      <c r="H54" s="7">
        <f>IF(OR(F54="",G54=""),"",WORKDAY.INTL(F54,G54-1,1,休日!$A$4:$A$200))</f>
        <v>0</v>
      </c>
      <c r="L54" s="9"/>
      <c r="M54" s="10">
        <f>IF(OR(F54="",I54=""),"",NETWORKDAYS.INTL(F54,I54-1,1,休日!$A$4:$A$200)-1)</f>
        <v>0</v>
      </c>
      <c r="N54" s="10">
        <f>IF(OR(H54="",J54=""),"",NETWORKDAYS.INTL(H54,J54-1,1,休日!$A$4:$A$200)-1)</f>
        <v>0</v>
      </c>
      <c r="P54" s="9"/>
      <c r="Q54" s="10">
        <f>IF(C54="","",IF(E54="マイルストーン","MILESTONE",IF(K54&gt;=1,"完了",IF(I54&lt;&gt;"","進行中","未着手"))))</f>
        <v>0</v>
      </c>
    </row>
    <row r="55" spans="1:17">
      <c r="A55" s="9"/>
      <c r="B55" s="9"/>
      <c r="C55" s="9"/>
      <c r="D55" s="9"/>
      <c r="E55" s="9"/>
      <c r="H55" s="7">
        <f>IF(OR(F55="",G55=""),"",WORKDAY.INTL(F55,G55-1,1,休日!$A$4:$A$200))</f>
        <v>0</v>
      </c>
      <c r="L55" s="9"/>
      <c r="M55" s="10">
        <f>IF(OR(F55="",I55=""),"",NETWORKDAYS.INTL(F55,I55-1,1,休日!$A$4:$A$200)-1)</f>
        <v>0</v>
      </c>
      <c r="N55" s="10">
        <f>IF(OR(H55="",J55=""),"",NETWORKDAYS.INTL(H55,J55-1,1,休日!$A$4:$A$200)-1)</f>
        <v>0</v>
      </c>
      <c r="P55" s="9"/>
      <c r="Q55" s="10">
        <f>IF(C55="","",IF(E55="マイルストーン","MILESTONE",IF(K55&gt;=1,"完了",IF(I55&lt;&gt;"","進行中","未着手"))))</f>
        <v>0</v>
      </c>
    </row>
    <row r="56" spans="1:17">
      <c r="A56" s="9"/>
      <c r="B56" s="9"/>
      <c r="C56" s="9"/>
      <c r="D56" s="9"/>
      <c r="E56" s="9"/>
      <c r="H56" s="7">
        <f>IF(OR(F56="",G56=""),"",WORKDAY.INTL(F56,G56-1,1,休日!$A$4:$A$200))</f>
        <v>0</v>
      </c>
      <c r="L56" s="9"/>
      <c r="M56" s="10">
        <f>IF(OR(F56="",I56=""),"",NETWORKDAYS.INTL(F56,I56-1,1,休日!$A$4:$A$200)-1)</f>
        <v>0</v>
      </c>
      <c r="N56" s="10">
        <f>IF(OR(H56="",J56=""),"",NETWORKDAYS.INTL(H56,J56-1,1,休日!$A$4:$A$200)-1)</f>
        <v>0</v>
      </c>
      <c r="P56" s="9"/>
      <c r="Q56" s="10">
        <f>IF(C56="","",IF(E56="マイルストーン","MILESTONE",IF(K56&gt;=1,"完了",IF(I56&lt;&gt;"","進行中","未着手"))))</f>
        <v>0</v>
      </c>
    </row>
    <row r="57" spans="1:17">
      <c r="A57" s="9"/>
      <c r="B57" s="9"/>
      <c r="C57" s="9"/>
      <c r="D57" s="9"/>
      <c r="E57" s="9"/>
      <c r="H57" s="7">
        <f>IF(OR(F57="",G57=""),"",WORKDAY.INTL(F57,G57-1,1,休日!$A$4:$A$200))</f>
        <v>0</v>
      </c>
      <c r="L57" s="9"/>
      <c r="M57" s="10">
        <f>IF(OR(F57="",I57=""),"",NETWORKDAYS.INTL(F57,I57-1,1,休日!$A$4:$A$200)-1)</f>
        <v>0</v>
      </c>
      <c r="N57" s="10">
        <f>IF(OR(H57="",J57=""),"",NETWORKDAYS.INTL(H57,J57-1,1,休日!$A$4:$A$200)-1)</f>
        <v>0</v>
      </c>
      <c r="P57" s="9"/>
      <c r="Q57" s="10">
        <f>IF(C57="","",IF(E57="マイルストーン","MILESTONE",IF(K57&gt;=1,"完了",IF(I57&lt;&gt;"","進行中","未着手"))))</f>
        <v>0</v>
      </c>
    </row>
    <row r="58" spans="1:17">
      <c r="A58" s="9"/>
      <c r="B58" s="9"/>
      <c r="C58" s="9"/>
      <c r="D58" s="9"/>
      <c r="E58" s="9"/>
      <c r="H58" s="7">
        <f>IF(OR(F58="",G58=""),"",WORKDAY.INTL(F58,G58-1,1,休日!$A$4:$A$200))</f>
        <v>0</v>
      </c>
      <c r="L58" s="9"/>
      <c r="M58" s="10">
        <f>IF(OR(F58="",I58=""),"",NETWORKDAYS.INTL(F58,I58-1,1,休日!$A$4:$A$200)-1)</f>
        <v>0</v>
      </c>
      <c r="N58" s="10">
        <f>IF(OR(H58="",J58=""),"",NETWORKDAYS.INTL(H58,J58-1,1,休日!$A$4:$A$200)-1)</f>
        <v>0</v>
      </c>
      <c r="P58" s="9"/>
      <c r="Q58" s="10">
        <f>IF(C58="","",IF(E58="マイルストーン","MILESTONE",IF(K58&gt;=1,"完了",IF(I58&lt;&gt;"","進行中","未着手"))))</f>
        <v>0</v>
      </c>
    </row>
    <row r="59" spans="1:17">
      <c r="A59" s="9"/>
      <c r="B59" s="9"/>
      <c r="C59" s="9"/>
      <c r="D59" s="9"/>
      <c r="E59" s="9"/>
      <c r="H59" s="7">
        <f>IF(OR(F59="",G59=""),"",WORKDAY.INTL(F59,G59-1,1,休日!$A$4:$A$200))</f>
        <v>0</v>
      </c>
      <c r="L59" s="9"/>
      <c r="M59" s="10">
        <f>IF(OR(F59="",I59=""),"",NETWORKDAYS.INTL(F59,I59-1,1,休日!$A$4:$A$200)-1)</f>
        <v>0</v>
      </c>
      <c r="N59" s="10">
        <f>IF(OR(H59="",J59=""),"",NETWORKDAYS.INTL(H59,J59-1,1,休日!$A$4:$A$200)-1)</f>
        <v>0</v>
      </c>
      <c r="P59" s="9"/>
      <c r="Q59" s="10">
        <f>IF(C59="","",IF(E59="マイルストーン","MILESTONE",IF(K59&gt;=1,"完了",IF(I59&lt;&gt;"","進行中","未着手"))))</f>
        <v>0</v>
      </c>
    </row>
    <row r="60" spans="1:17">
      <c r="A60" s="9"/>
      <c r="B60" s="9"/>
      <c r="C60" s="9"/>
      <c r="D60" s="9"/>
      <c r="E60" s="9"/>
      <c r="H60" s="7">
        <f>IF(OR(F60="",G60=""),"",WORKDAY.INTL(F60,G60-1,1,休日!$A$4:$A$200))</f>
        <v>0</v>
      </c>
      <c r="L60" s="9"/>
      <c r="M60" s="10">
        <f>IF(OR(F60="",I60=""),"",NETWORKDAYS.INTL(F60,I60-1,1,休日!$A$4:$A$200)-1)</f>
        <v>0</v>
      </c>
      <c r="N60" s="10">
        <f>IF(OR(H60="",J60=""),"",NETWORKDAYS.INTL(H60,J60-1,1,休日!$A$4:$A$200)-1)</f>
        <v>0</v>
      </c>
      <c r="P60" s="9"/>
      <c r="Q60" s="10">
        <f>IF(C60="","",IF(E60="マイルストーン","MILESTONE",IF(K60&gt;=1,"完了",IF(I60&lt;&gt;"","進行中","未着手"))))</f>
        <v>0</v>
      </c>
    </row>
    <row r="61" spans="1:17">
      <c r="A61" s="9"/>
      <c r="B61" s="9"/>
      <c r="C61" s="9"/>
      <c r="D61" s="9"/>
      <c r="E61" s="9"/>
      <c r="H61" s="7">
        <f>IF(OR(F61="",G61=""),"",WORKDAY.INTL(F61,G61-1,1,休日!$A$4:$A$200))</f>
        <v>0</v>
      </c>
      <c r="L61" s="9"/>
      <c r="M61" s="10">
        <f>IF(OR(F61="",I61=""),"",NETWORKDAYS.INTL(F61,I61-1,1,休日!$A$4:$A$200)-1)</f>
        <v>0</v>
      </c>
      <c r="N61" s="10">
        <f>IF(OR(H61="",J61=""),"",NETWORKDAYS.INTL(H61,J61-1,1,休日!$A$4:$A$200)-1)</f>
        <v>0</v>
      </c>
      <c r="P61" s="9"/>
      <c r="Q61" s="10">
        <f>IF(C61="","",IF(E61="マイルストーン","MILESTONE",IF(K61&gt;=1,"完了",IF(I61&lt;&gt;"","進行中","未着手"))))</f>
        <v>0</v>
      </c>
    </row>
    <row r="62" spans="1:17">
      <c r="A62" s="9"/>
      <c r="B62" s="9"/>
      <c r="C62" s="9"/>
      <c r="D62" s="9"/>
      <c r="E62" s="9"/>
      <c r="H62" s="7">
        <f>IF(OR(F62="",G62=""),"",WORKDAY.INTL(F62,G62-1,1,休日!$A$4:$A$200))</f>
        <v>0</v>
      </c>
      <c r="L62" s="9"/>
      <c r="M62" s="10">
        <f>IF(OR(F62="",I62=""),"",NETWORKDAYS.INTL(F62,I62-1,1,休日!$A$4:$A$200)-1)</f>
        <v>0</v>
      </c>
      <c r="N62" s="10">
        <f>IF(OR(H62="",J62=""),"",NETWORKDAYS.INTL(H62,J62-1,1,休日!$A$4:$A$200)-1)</f>
        <v>0</v>
      </c>
      <c r="P62" s="9"/>
      <c r="Q62" s="10">
        <f>IF(C62="","",IF(E62="マイルストーン","MILESTONE",IF(K62&gt;=1,"完了",IF(I62&lt;&gt;"","進行中","未着手"))))</f>
        <v>0</v>
      </c>
    </row>
    <row r="63" spans="1:17">
      <c r="A63" s="9"/>
      <c r="B63" s="9"/>
      <c r="C63" s="9"/>
      <c r="D63" s="9"/>
      <c r="E63" s="9"/>
      <c r="H63" s="7">
        <f>IF(OR(F63="",G63=""),"",WORKDAY.INTL(F63,G63-1,1,休日!$A$4:$A$200))</f>
        <v>0</v>
      </c>
      <c r="L63" s="9"/>
      <c r="M63" s="10">
        <f>IF(OR(F63="",I63=""),"",NETWORKDAYS.INTL(F63,I63-1,1,休日!$A$4:$A$200)-1)</f>
        <v>0</v>
      </c>
      <c r="N63" s="10">
        <f>IF(OR(H63="",J63=""),"",NETWORKDAYS.INTL(H63,J63-1,1,休日!$A$4:$A$200)-1)</f>
        <v>0</v>
      </c>
      <c r="P63" s="9"/>
      <c r="Q63" s="10">
        <f>IF(C63="","",IF(E63="マイルストーン","MILESTONE",IF(K63&gt;=1,"完了",IF(I63&lt;&gt;"","進行中","未着手"))))</f>
        <v>0</v>
      </c>
    </row>
    <row r="64" spans="1:17">
      <c r="A64" s="9"/>
      <c r="B64" s="9"/>
      <c r="C64" s="9"/>
      <c r="D64" s="9"/>
      <c r="E64" s="9"/>
      <c r="H64" s="7">
        <f>IF(OR(F64="",G64=""),"",WORKDAY.INTL(F64,G64-1,1,休日!$A$4:$A$200))</f>
        <v>0</v>
      </c>
      <c r="L64" s="9"/>
      <c r="M64" s="10">
        <f>IF(OR(F64="",I64=""),"",NETWORKDAYS.INTL(F64,I64-1,1,休日!$A$4:$A$200)-1)</f>
        <v>0</v>
      </c>
      <c r="N64" s="10">
        <f>IF(OR(H64="",J64=""),"",NETWORKDAYS.INTL(H64,J64-1,1,休日!$A$4:$A$200)-1)</f>
        <v>0</v>
      </c>
      <c r="P64" s="9"/>
      <c r="Q64" s="10">
        <f>IF(C64="","",IF(E64="マイルストーン","MILESTONE",IF(K64&gt;=1,"完了",IF(I64&lt;&gt;"","進行中","未着手"))))</f>
        <v>0</v>
      </c>
    </row>
    <row r="65" spans="1:17">
      <c r="A65" s="9"/>
      <c r="B65" s="9"/>
      <c r="C65" s="9"/>
      <c r="D65" s="9"/>
      <c r="E65" s="9"/>
      <c r="H65" s="7">
        <f>IF(OR(F65="",G65=""),"",WORKDAY.INTL(F65,G65-1,1,休日!$A$4:$A$200))</f>
        <v>0</v>
      </c>
      <c r="L65" s="9"/>
      <c r="M65" s="10">
        <f>IF(OR(F65="",I65=""),"",NETWORKDAYS.INTL(F65,I65-1,1,休日!$A$4:$A$200)-1)</f>
        <v>0</v>
      </c>
      <c r="N65" s="10">
        <f>IF(OR(H65="",J65=""),"",NETWORKDAYS.INTL(H65,J65-1,1,休日!$A$4:$A$200)-1)</f>
        <v>0</v>
      </c>
      <c r="P65" s="9"/>
      <c r="Q65" s="10">
        <f>IF(C65="","",IF(E65="マイルストーン","MILESTONE",IF(K65&gt;=1,"完了",IF(I65&lt;&gt;"","進行中","未着手"))))</f>
        <v>0</v>
      </c>
    </row>
    <row r="66" spans="1:17">
      <c r="A66" s="9"/>
      <c r="B66" s="9"/>
      <c r="C66" s="9"/>
      <c r="D66" s="9"/>
      <c r="E66" s="9"/>
      <c r="H66" s="7">
        <f>IF(OR(F66="",G66=""),"",WORKDAY.INTL(F66,G66-1,1,休日!$A$4:$A$200))</f>
        <v>0</v>
      </c>
      <c r="L66" s="9"/>
      <c r="M66" s="10">
        <f>IF(OR(F66="",I66=""),"",NETWORKDAYS.INTL(F66,I66-1,1,休日!$A$4:$A$200)-1)</f>
        <v>0</v>
      </c>
      <c r="N66" s="10">
        <f>IF(OR(H66="",J66=""),"",NETWORKDAYS.INTL(H66,J66-1,1,休日!$A$4:$A$200)-1)</f>
        <v>0</v>
      </c>
      <c r="P66" s="9"/>
      <c r="Q66" s="10">
        <f>IF(C66="","",IF(E66="マイルストーン","MILESTONE",IF(K66&gt;=1,"完了",IF(I66&lt;&gt;"","進行中","未着手"))))</f>
        <v>0</v>
      </c>
    </row>
    <row r="67" spans="1:17">
      <c r="A67" s="9"/>
      <c r="B67" s="9"/>
      <c r="C67" s="9"/>
      <c r="D67" s="9"/>
      <c r="E67" s="9"/>
      <c r="H67" s="7">
        <f>IF(OR(F67="",G67=""),"",WORKDAY.INTL(F67,G67-1,1,休日!$A$4:$A$200))</f>
        <v>0</v>
      </c>
      <c r="L67" s="9"/>
      <c r="M67" s="10">
        <f>IF(OR(F67="",I67=""),"",NETWORKDAYS.INTL(F67,I67-1,1,休日!$A$4:$A$200)-1)</f>
        <v>0</v>
      </c>
      <c r="N67" s="10">
        <f>IF(OR(H67="",J67=""),"",NETWORKDAYS.INTL(H67,J67-1,1,休日!$A$4:$A$200)-1)</f>
        <v>0</v>
      </c>
      <c r="P67" s="9"/>
      <c r="Q67" s="10">
        <f>IF(C67="","",IF(E67="マイルストーン","MILESTONE",IF(K67&gt;=1,"完了",IF(I67&lt;&gt;"","進行中","未着手"))))</f>
        <v>0</v>
      </c>
    </row>
    <row r="68" spans="1:17">
      <c r="A68" s="9"/>
      <c r="B68" s="9"/>
      <c r="C68" s="9"/>
      <c r="D68" s="9"/>
      <c r="E68" s="9"/>
      <c r="H68" s="7">
        <f>IF(OR(F68="",G68=""),"",WORKDAY.INTL(F68,G68-1,1,休日!$A$4:$A$200))</f>
        <v>0</v>
      </c>
      <c r="L68" s="9"/>
      <c r="M68" s="10">
        <f>IF(OR(F68="",I68=""),"",NETWORKDAYS.INTL(F68,I68-1,1,休日!$A$4:$A$200)-1)</f>
        <v>0</v>
      </c>
      <c r="N68" s="10">
        <f>IF(OR(H68="",J68=""),"",NETWORKDAYS.INTL(H68,J68-1,1,休日!$A$4:$A$200)-1)</f>
        <v>0</v>
      </c>
      <c r="P68" s="9"/>
      <c r="Q68" s="10">
        <f>IF(C68="","",IF(E68="マイルストーン","MILESTONE",IF(K68&gt;=1,"完了",IF(I68&lt;&gt;"","進行中","未着手"))))</f>
        <v>0</v>
      </c>
    </row>
    <row r="69" spans="1:17">
      <c r="A69" s="9"/>
      <c r="B69" s="9"/>
      <c r="C69" s="9"/>
      <c r="D69" s="9"/>
      <c r="E69" s="9"/>
      <c r="H69" s="7">
        <f>IF(OR(F69="",G69=""),"",WORKDAY.INTL(F69,G69-1,1,休日!$A$4:$A$200))</f>
        <v>0</v>
      </c>
      <c r="L69" s="9"/>
      <c r="M69" s="10">
        <f>IF(OR(F69="",I69=""),"",NETWORKDAYS.INTL(F69,I69-1,1,休日!$A$4:$A$200)-1)</f>
        <v>0</v>
      </c>
      <c r="N69" s="10">
        <f>IF(OR(H69="",J69=""),"",NETWORKDAYS.INTL(H69,J69-1,1,休日!$A$4:$A$200)-1)</f>
        <v>0</v>
      </c>
      <c r="P69" s="9"/>
      <c r="Q69" s="10">
        <f>IF(C69="","",IF(E69="マイルストーン","MILESTONE",IF(K69&gt;=1,"完了",IF(I69&lt;&gt;"","進行中","未着手"))))</f>
        <v>0</v>
      </c>
    </row>
    <row r="70" spans="1:17">
      <c r="A70" s="9"/>
      <c r="B70" s="9"/>
      <c r="C70" s="9"/>
      <c r="D70" s="9"/>
      <c r="E70" s="9"/>
      <c r="H70" s="7">
        <f>IF(OR(F70="",G70=""),"",WORKDAY.INTL(F70,G70-1,1,休日!$A$4:$A$200))</f>
        <v>0</v>
      </c>
      <c r="L70" s="9"/>
      <c r="M70" s="10">
        <f>IF(OR(F70="",I70=""),"",NETWORKDAYS.INTL(F70,I70-1,1,休日!$A$4:$A$200)-1)</f>
        <v>0</v>
      </c>
      <c r="N70" s="10">
        <f>IF(OR(H70="",J70=""),"",NETWORKDAYS.INTL(H70,J70-1,1,休日!$A$4:$A$200)-1)</f>
        <v>0</v>
      </c>
      <c r="P70" s="9"/>
      <c r="Q70" s="10">
        <f>IF(C70="","",IF(E70="マイルストーン","MILESTONE",IF(K70&gt;=1,"完了",IF(I70&lt;&gt;"","進行中","未着手"))))</f>
        <v>0</v>
      </c>
    </row>
    <row r="71" spans="1:17">
      <c r="A71" s="9"/>
      <c r="B71" s="9"/>
      <c r="C71" s="9"/>
      <c r="D71" s="9"/>
      <c r="E71" s="9"/>
      <c r="H71" s="7">
        <f>IF(OR(F71="",G71=""),"",WORKDAY.INTL(F71,G71-1,1,休日!$A$4:$A$200))</f>
        <v>0</v>
      </c>
      <c r="L71" s="9"/>
      <c r="M71" s="10">
        <f>IF(OR(F71="",I71=""),"",NETWORKDAYS.INTL(F71,I71-1,1,休日!$A$4:$A$200)-1)</f>
        <v>0</v>
      </c>
      <c r="N71" s="10">
        <f>IF(OR(H71="",J71=""),"",NETWORKDAYS.INTL(H71,J71-1,1,休日!$A$4:$A$200)-1)</f>
        <v>0</v>
      </c>
      <c r="P71" s="9"/>
      <c r="Q71" s="10">
        <f>IF(C71="","",IF(E71="マイルストーン","MILESTONE",IF(K71&gt;=1,"完了",IF(I71&lt;&gt;"","進行中","未着手"))))</f>
        <v>0</v>
      </c>
    </row>
    <row r="72" spans="1:17">
      <c r="A72" s="9"/>
      <c r="B72" s="9"/>
      <c r="C72" s="9"/>
      <c r="D72" s="9"/>
      <c r="E72" s="9"/>
      <c r="H72" s="7">
        <f>IF(OR(F72="",G72=""),"",WORKDAY.INTL(F72,G72-1,1,休日!$A$4:$A$200))</f>
        <v>0</v>
      </c>
      <c r="L72" s="9"/>
      <c r="M72" s="10">
        <f>IF(OR(F72="",I72=""),"",NETWORKDAYS.INTL(F72,I72-1,1,休日!$A$4:$A$200)-1)</f>
        <v>0</v>
      </c>
      <c r="N72" s="10">
        <f>IF(OR(H72="",J72=""),"",NETWORKDAYS.INTL(H72,J72-1,1,休日!$A$4:$A$200)-1)</f>
        <v>0</v>
      </c>
      <c r="P72" s="9"/>
      <c r="Q72" s="10">
        <f>IF(C72="","",IF(E72="マイルストーン","MILESTONE",IF(K72&gt;=1,"完了",IF(I72&lt;&gt;"","進行中","未着手"))))</f>
        <v>0</v>
      </c>
    </row>
    <row r="73" spans="1:17">
      <c r="A73" s="9"/>
      <c r="B73" s="9"/>
      <c r="C73" s="9"/>
      <c r="D73" s="9"/>
      <c r="E73" s="9"/>
      <c r="H73" s="7">
        <f>IF(OR(F73="",G73=""),"",WORKDAY.INTL(F73,G73-1,1,休日!$A$4:$A$200))</f>
        <v>0</v>
      </c>
      <c r="L73" s="9"/>
      <c r="M73" s="10">
        <f>IF(OR(F73="",I73=""),"",NETWORKDAYS.INTL(F73,I73-1,1,休日!$A$4:$A$200)-1)</f>
        <v>0</v>
      </c>
      <c r="N73" s="10">
        <f>IF(OR(H73="",J73=""),"",NETWORKDAYS.INTL(H73,J73-1,1,休日!$A$4:$A$200)-1)</f>
        <v>0</v>
      </c>
      <c r="P73" s="9"/>
      <c r="Q73" s="10">
        <f>IF(C73="","",IF(E73="マイルストーン","MILESTONE",IF(K73&gt;=1,"完了",IF(I73&lt;&gt;"","進行中","未着手"))))</f>
        <v>0</v>
      </c>
    </row>
    <row r="74" spans="1:17">
      <c r="A74" s="9"/>
      <c r="B74" s="9"/>
      <c r="C74" s="9"/>
      <c r="D74" s="9"/>
      <c r="E74" s="9"/>
      <c r="H74" s="7">
        <f>IF(OR(F74="",G74=""),"",WORKDAY.INTL(F74,G74-1,1,休日!$A$4:$A$200))</f>
        <v>0</v>
      </c>
      <c r="L74" s="9"/>
      <c r="M74" s="10">
        <f>IF(OR(F74="",I74=""),"",NETWORKDAYS.INTL(F74,I74-1,1,休日!$A$4:$A$200)-1)</f>
        <v>0</v>
      </c>
      <c r="N74" s="10">
        <f>IF(OR(H74="",J74=""),"",NETWORKDAYS.INTL(H74,J74-1,1,休日!$A$4:$A$200)-1)</f>
        <v>0</v>
      </c>
      <c r="P74" s="9"/>
      <c r="Q74" s="10">
        <f>IF(C74="","",IF(E74="マイルストーン","MILESTONE",IF(K74&gt;=1,"完了",IF(I74&lt;&gt;"","進行中","未着手"))))</f>
        <v>0</v>
      </c>
    </row>
    <row r="75" spans="1:17">
      <c r="A75" s="9"/>
      <c r="B75" s="9"/>
      <c r="C75" s="9"/>
      <c r="D75" s="9"/>
      <c r="E75" s="9"/>
      <c r="H75" s="7">
        <f>IF(OR(F75="",G75=""),"",WORKDAY.INTL(F75,G75-1,1,休日!$A$4:$A$200))</f>
        <v>0</v>
      </c>
      <c r="L75" s="9"/>
      <c r="M75" s="10">
        <f>IF(OR(F75="",I75=""),"",NETWORKDAYS.INTL(F75,I75-1,1,休日!$A$4:$A$200)-1)</f>
        <v>0</v>
      </c>
      <c r="N75" s="10">
        <f>IF(OR(H75="",J75=""),"",NETWORKDAYS.INTL(H75,J75-1,1,休日!$A$4:$A$200)-1)</f>
        <v>0</v>
      </c>
      <c r="P75" s="9"/>
      <c r="Q75" s="10">
        <f>IF(C75="","",IF(E75="マイルストーン","MILESTONE",IF(K75&gt;=1,"完了",IF(I75&lt;&gt;"","進行中","未着手"))))</f>
        <v>0</v>
      </c>
    </row>
    <row r="76" spans="1:17">
      <c r="A76" s="9"/>
      <c r="B76" s="9"/>
      <c r="C76" s="9"/>
      <c r="D76" s="9"/>
      <c r="E76" s="9"/>
      <c r="H76" s="7">
        <f>IF(OR(F76="",G76=""),"",WORKDAY.INTL(F76,G76-1,1,休日!$A$4:$A$200))</f>
        <v>0</v>
      </c>
      <c r="L76" s="9"/>
      <c r="M76" s="10">
        <f>IF(OR(F76="",I76=""),"",NETWORKDAYS.INTL(F76,I76-1,1,休日!$A$4:$A$200)-1)</f>
        <v>0</v>
      </c>
      <c r="N76" s="10">
        <f>IF(OR(H76="",J76=""),"",NETWORKDAYS.INTL(H76,J76-1,1,休日!$A$4:$A$200)-1)</f>
        <v>0</v>
      </c>
      <c r="P76" s="9"/>
      <c r="Q76" s="10">
        <f>IF(C76="","",IF(E76="マイルストーン","MILESTONE",IF(K76&gt;=1,"完了",IF(I76&lt;&gt;"","進行中","未着手"))))</f>
        <v>0</v>
      </c>
    </row>
    <row r="77" spans="1:17">
      <c r="A77" s="9"/>
      <c r="B77" s="9"/>
      <c r="C77" s="9"/>
      <c r="D77" s="9"/>
      <c r="E77" s="9"/>
      <c r="H77" s="7">
        <f>IF(OR(F77="",G77=""),"",WORKDAY.INTL(F77,G77-1,1,休日!$A$4:$A$200))</f>
        <v>0</v>
      </c>
      <c r="L77" s="9"/>
      <c r="M77" s="10">
        <f>IF(OR(F77="",I77=""),"",NETWORKDAYS.INTL(F77,I77-1,1,休日!$A$4:$A$200)-1)</f>
        <v>0</v>
      </c>
      <c r="N77" s="10">
        <f>IF(OR(H77="",J77=""),"",NETWORKDAYS.INTL(H77,J77-1,1,休日!$A$4:$A$200)-1)</f>
        <v>0</v>
      </c>
      <c r="P77" s="9"/>
      <c r="Q77" s="10">
        <f>IF(C77="","",IF(E77="マイルストーン","MILESTONE",IF(K77&gt;=1,"完了",IF(I77&lt;&gt;"","進行中","未着手"))))</f>
        <v>0</v>
      </c>
    </row>
    <row r="78" spans="1:17">
      <c r="A78" s="9"/>
      <c r="B78" s="9"/>
      <c r="C78" s="9"/>
      <c r="D78" s="9"/>
      <c r="E78" s="9"/>
      <c r="H78" s="7">
        <f>IF(OR(F78="",G78=""),"",WORKDAY.INTL(F78,G78-1,1,休日!$A$4:$A$200))</f>
        <v>0</v>
      </c>
      <c r="L78" s="9"/>
      <c r="M78" s="10">
        <f>IF(OR(F78="",I78=""),"",NETWORKDAYS.INTL(F78,I78-1,1,休日!$A$4:$A$200)-1)</f>
        <v>0</v>
      </c>
      <c r="N78" s="10">
        <f>IF(OR(H78="",J78=""),"",NETWORKDAYS.INTL(H78,J78-1,1,休日!$A$4:$A$200)-1)</f>
        <v>0</v>
      </c>
      <c r="P78" s="9"/>
      <c r="Q78" s="10">
        <f>IF(C78="","",IF(E78="マイルストーン","MILESTONE",IF(K78&gt;=1,"完了",IF(I78&lt;&gt;"","進行中","未着手"))))</f>
        <v>0</v>
      </c>
    </row>
    <row r="79" spans="1:17">
      <c r="A79" s="9"/>
      <c r="B79" s="9"/>
      <c r="C79" s="9"/>
      <c r="D79" s="9"/>
      <c r="E79" s="9"/>
      <c r="H79" s="7">
        <f>IF(OR(F79="",G79=""),"",WORKDAY.INTL(F79,G79-1,1,休日!$A$4:$A$200))</f>
        <v>0</v>
      </c>
      <c r="L79" s="9"/>
      <c r="M79" s="10">
        <f>IF(OR(F79="",I79=""),"",NETWORKDAYS.INTL(F79,I79-1,1,休日!$A$4:$A$200)-1)</f>
        <v>0</v>
      </c>
      <c r="N79" s="10">
        <f>IF(OR(H79="",J79=""),"",NETWORKDAYS.INTL(H79,J79-1,1,休日!$A$4:$A$200)-1)</f>
        <v>0</v>
      </c>
      <c r="P79" s="9"/>
      <c r="Q79" s="10">
        <f>IF(C79="","",IF(E79="マイルストーン","MILESTONE",IF(K79&gt;=1,"完了",IF(I79&lt;&gt;"","進行中","未着手"))))</f>
        <v>0</v>
      </c>
    </row>
    <row r="80" spans="1:17">
      <c r="A80" s="9"/>
      <c r="B80" s="9"/>
      <c r="C80" s="9"/>
      <c r="D80" s="9"/>
      <c r="E80" s="9"/>
      <c r="H80" s="7">
        <f>IF(OR(F80="",G80=""),"",WORKDAY.INTL(F80,G80-1,1,休日!$A$4:$A$200))</f>
        <v>0</v>
      </c>
      <c r="L80" s="9"/>
      <c r="M80" s="10">
        <f>IF(OR(F80="",I80=""),"",NETWORKDAYS.INTL(F80,I80-1,1,休日!$A$4:$A$200)-1)</f>
        <v>0</v>
      </c>
      <c r="N80" s="10">
        <f>IF(OR(H80="",J80=""),"",NETWORKDAYS.INTL(H80,J80-1,1,休日!$A$4:$A$200)-1)</f>
        <v>0</v>
      </c>
      <c r="P80" s="9"/>
      <c r="Q80" s="10">
        <f>IF(C80="","",IF(E80="マイルストーン","MILESTONE",IF(K80&gt;=1,"完了",IF(I80&lt;&gt;"","進行中","未着手"))))</f>
        <v>0</v>
      </c>
    </row>
    <row r="81" spans="1:17">
      <c r="A81" s="9"/>
      <c r="B81" s="9"/>
      <c r="C81" s="9"/>
      <c r="D81" s="9"/>
      <c r="E81" s="9"/>
      <c r="H81" s="7">
        <f>IF(OR(F81="",G81=""),"",WORKDAY.INTL(F81,G81-1,1,休日!$A$4:$A$200))</f>
        <v>0</v>
      </c>
      <c r="L81" s="9"/>
      <c r="M81" s="10">
        <f>IF(OR(F81="",I81=""),"",NETWORKDAYS.INTL(F81,I81-1,1,休日!$A$4:$A$200)-1)</f>
        <v>0</v>
      </c>
      <c r="N81" s="10">
        <f>IF(OR(H81="",J81=""),"",NETWORKDAYS.INTL(H81,J81-1,1,休日!$A$4:$A$200)-1)</f>
        <v>0</v>
      </c>
      <c r="P81" s="9"/>
      <c r="Q81" s="10">
        <f>IF(C81="","",IF(E81="マイルストーン","MILESTONE",IF(K81&gt;=1,"完了",IF(I81&lt;&gt;"","進行中","未着手"))))</f>
        <v>0</v>
      </c>
    </row>
    <row r="82" spans="1:17">
      <c r="A82" s="9"/>
      <c r="B82" s="9"/>
      <c r="C82" s="9"/>
      <c r="D82" s="9"/>
      <c r="E82" s="9"/>
      <c r="H82" s="7">
        <f>IF(OR(F82="",G82=""),"",WORKDAY.INTL(F82,G82-1,1,休日!$A$4:$A$200))</f>
        <v>0</v>
      </c>
      <c r="L82" s="9"/>
      <c r="M82" s="10">
        <f>IF(OR(F82="",I82=""),"",NETWORKDAYS.INTL(F82,I82-1,1,休日!$A$4:$A$200)-1)</f>
        <v>0</v>
      </c>
      <c r="N82" s="10">
        <f>IF(OR(H82="",J82=""),"",NETWORKDAYS.INTL(H82,J82-1,1,休日!$A$4:$A$200)-1)</f>
        <v>0</v>
      </c>
      <c r="P82" s="9"/>
      <c r="Q82" s="10">
        <f>IF(C82="","",IF(E82="マイルストーン","MILESTONE",IF(K82&gt;=1,"完了",IF(I82&lt;&gt;"","進行中","未着手"))))</f>
        <v>0</v>
      </c>
    </row>
    <row r="83" spans="1:17">
      <c r="A83" s="9"/>
      <c r="B83" s="9"/>
      <c r="C83" s="9"/>
      <c r="D83" s="9"/>
      <c r="E83" s="9"/>
      <c r="H83" s="7">
        <f>IF(OR(F83="",G83=""),"",WORKDAY.INTL(F83,G83-1,1,休日!$A$4:$A$200))</f>
        <v>0</v>
      </c>
      <c r="L83" s="9"/>
      <c r="M83" s="10">
        <f>IF(OR(F83="",I83=""),"",NETWORKDAYS.INTL(F83,I83-1,1,休日!$A$4:$A$200)-1)</f>
        <v>0</v>
      </c>
      <c r="N83" s="10">
        <f>IF(OR(H83="",J83=""),"",NETWORKDAYS.INTL(H83,J83-1,1,休日!$A$4:$A$200)-1)</f>
        <v>0</v>
      </c>
      <c r="P83" s="9"/>
      <c r="Q83" s="10">
        <f>IF(C83="","",IF(E83="マイルストーン","MILESTONE",IF(K83&gt;=1,"完了",IF(I83&lt;&gt;"","進行中","未着手"))))</f>
        <v>0</v>
      </c>
    </row>
    <row r="84" spans="1:17">
      <c r="A84" s="9"/>
      <c r="B84" s="9"/>
      <c r="C84" s="9"/>
      <c r="D84" s="9"/>
      <c r="E84" s="9"/>
      <c r="H84" s="7">
        <f>IF(OR(F84="",G84=""),"",WORKDAY.INTL(F84,G84-1,1,休日!$A$4:$A$200))</f>
        <v>0</v>
      </c>
      <c r="L84" s="9"/>
      <c r="M84" s="10">
        <f>IF(OR(F84="",I84=""),"",NETWORKDAYS.INTL(F84,I84-1,1,休日!$A$4:$A$200)-1)</f>
        <v>0</v>
      </c>
      <c r="N84" s="10">
        <f>IF(OR(H84="",J84=""),"",NETWORKDAYS.INTL(H84,J84-1,1,休日!$A$4:$A$200)-1)</f>
        <v>0</v>
      </c>
      <c r="P84" s="9"/>
      <c r="Q84" s="10">
        <f>IF(C84="","",IF(E84="マイルストーン","MILESTONE",IF(K84&gt;=1,"完了",IF(I84&lt;&gt;"","進行中","未着手"))))</f>
        <v>0</v>
      </c>
    </row>
    <row r="85" spans="1:17">
      <c r="A85" s="9"/>
      <c r="B85" s="9"/>
      <c r="C85" s="9"/>
      <c r="D85" s="9"/>
      <c r="E85" s="9"/>
      <c r="H85" s="7">
        <f>IF(OR(F85="",G85=""),"",WORKDAY.INTL(F85,G85-1,1,休日!$A$4:$A$200))</f>
        <v>0</v>
      </c>
      <c r="L85" s="9"/>
      <c r="M85" s="10">
        <f>IF(OR(F85="",I85=""),"",NETWORKDAYS.INTL(F85,I85-1,1,休日!$A$4:$A$200)-1)</f>
        <v>0</v>
      </c>
      <c r="N85" s="10">
        <f>IF(OR(H85="",J85=""),"",NETWORKDAYS.INTL(H85,J85-1,1,休日!$A$4:$A$200)-1)</f>
        <v>0</v>
      </c>
      <c r="P85" s="9"/>
      <c r="Q85" s="10">
        <f>IF(C85="","",IF(E85="マイルストーン","MILESTONE",IF(K85&gt;=1,"完了",IF(I85&lt;&gt;"","進行中","未着手"))))</f>
        <v>0</v>
      </c>
    </row>
    <row r="86" spans="1:17">
      <c r="A86" s="9"/>
      <c r="B86" s="9"/>
      <c r="C86" s="9"/>
      <c r="D86" s="9"/>
      <c r="E86" s="9"/>
      <c r="H86" s="7">
        <f>IF(OR(F86="",G86=""),"",WORKDAY.INTL(F86,G86-1,1,休日!$A$4:$A$200))</f>
        <v>0</v>
      </c>
      <c r="L86" s="9"/>
      <c r="M86" s="10">
        <f>IF(OR(F86="",I86=""),"",NETWORKDAYS.INTL(F86,I86-1,1,休日!$A$4:$A$200)-1)</f>
        <v>0</v>
      </c>
      <c r="N86" s="10">
        <f>IF(OR(H86="",J86=""),"",NETWORKDAYS.INTL(H86,J86-1,1,休日!$A$4:$A$200)-1)</f>
        <v>0</v>
      </c>
      <c r="P86" s="9"/>
      <c r="Q86" s="10">
        <f>IF(C86="","",IF(E86="マイルストーン","MILESTONE",IF(K86&gt;=1,"完了",IF(I86&lt;&gt;"","進行中","未着手"))))</f>
        <v>0</v>
      </c>
    </row>
    <row r="87" spans="1:17">
      <c r="A87" s="9"/>
      <c r="B87" s="9"/>
      <c r="C87" s="9"/>
      <c r="D87" s="9"/>
      <c r="E87" s="9"/>
      <c r="H87" s="7">
        <f>IF(OR(F87="",G87=""),"",WORKDAY.INTL(F87,G87-1,1,休日!$A$4:$A$200))</f>
        <v>0</v>
      </c>
      <c r="L87" s="9"/>
      <c r="M87" s="10">
        <f>IF(OR(F87="",I87=""),"",NETWORKDAYS.INTL(F87,I87-1,1,休日!$A$4:$A$200)-1)</f>
        <v>0</v>
      </c>
      <c r="N87" s="10">
        <f>IF(OR(H87="",J87=""),"",NETWORKDAYS.INTL(H87,J87-1,1,休日!$A$4:$A$200)-1)</f>
        <v>0</v>
      </c>
      <c r="P87" s="9"/>
      <c r="Q87" s="10">
        <f>IF(C87="","",IF(E87="マイルストーン","MILESTONE",IF(K87&gt;=1,"完了",IF(I87&lt;&gt;"","進行中","未着手"))))</f>
        <v>0</v>
      </c>
    </row>
    <row r="88" spans="1:17">
      <c r="A88" s="9"/>
      <c r="B88" s="9"/>
      <c r="C88" s="9"/>
      <c r="D88" s="9"/>
      <c r="E88" s="9"/>
      <c r="H88" s="7">
        <f>IF(OR(F88="",G88=""),"",WORKDAY.INTL(F88,G88-1,1,休日!$A$4:$A$200))</f>
        <v>0</v>
      </c>
      <c r="L88" s="9"/>
      <c r="M88" s="10">
        <f>IF(OR(F88="",I88=""),"",NETWORKDAYS.INTL(F88,I88-1,1,休日!$A$4:$A$200)-1)</f>
        <v>0</v>
      </c>
      <c r="N88" s="10">
        <f>IF(OR(H88="",J88=""),"",NETWORKDAYS.INTL(H88,J88-1,1,休日!$A$4:$A$200)-1)</f>
        <v>0</v>
      </c>
      <c r="P88" s="9"/>
      <c r="Q88" s="10">
        <f>IF(C88="","",IF(E88="マイルストーン","MILESTONE",IF(K88&gt;=1,"完了",IF(I88&lt;&gt;"","進行中","未着手"))))</f>
        <v>0</v>
      </c>
    </row>
    <row r="89" spans="1:17">
      <c r="A89" s="9"/>
      <c r="B89" s="9"/>
      <c r="C89" s="9"/>
      <c r="D89" s="9"/>
      <c r="E89" s="9"/>
      <c r="H89" s="7">
        <f>IF(OR(F89="",G89=""),"",WORKDAY.INTL(F89,G89-1,1,休日!$A$4:$A$200))</f>
        <v>0</v>
      </c>
      <c r="L89" s="9"/>
      <c r="M89" s="10">
        <f>IF(OR(F89="",I89=""),"",NETWORKDAYS.INTL(F89,I89-1,1,休日!$A$4:$A$200)-1)</f>
        <v>0</v>
      </c>
      <c r="N89" s="10">
        <f>IF(OR(H89="",J89=""),"",NETWORKDAYS.INTL(H89,J89-1,1,休日!$A$4:$A$200)-1)</f>
        <v>0</v>
      </c>
      <c r="P89" s="9"/>
      <c r="Q89" s="10">
        <f>IF(C89="","",IF(E89="マイルストーン","MILESTONE",IF(K89&gt;=1,"完了",IF(I89&lt;&gt;"","進行中","未着手"))))</f>
        <v>0</v>
      </c>
    </row>
    <row r="90" spans="1:17">
      <c r="A90" s="9"/>
      <c r="B90" s="9"/>
      <c r="C90" s="9"/>
      <c r="D90" s="9"/>
      <c r="E90" s="9"/>
      <c r="H90" s="7">
        <f>IF(OR(F90="",G90=""),"",WORKDAY.INTL(F90,G90-1,1,休日!$A$4:$A$200))</f>
        <v>0</v>
      </c>
      <c r="L90" s="9"/>
      <c r="M90" s="10">
        <f>IF(OR(F90="",I90=""),"",NETWORKDAYS.INTL(F90,I90-1,1,休日!$A$4:$A$200)-1)</f>
        <v>0</v>
      </c>
      <c r="N90" s="10">
        <f>IF(OR(H90="",J90=""),"",NETWORKDAYS.INTL(H90,J90-1,1,休日!$A$4:$A$200)-1)</f>
        <v>0</v>
      </c>
      <c r="P90" s="9"/>
      <c r="Q90" s="10">
        <f>IF(C90="","",IF(E90="マイルストーン","MILESTONE",IF(K90&gt;=1,"完了",IF(I90&lt;&gt;"","進行中","未着手"))))</f>
        <v>0</v>
      </c>
    </row>
    <row r="91" spans="1:17">
      <c r="A91" s="9"/>
      <c r="B91" s="9"/>
      <c r="C91" s="9"/>
      <c r="D91" s="9"/>
      <c r="E91" s="9"/>
      <c r="H91" s="7">
        <f>IF(OR(F91="",G91=""),"",WORKDAY.INTL(F91,G91-1,1,休日!$A$4:$A$200))</f>
        <v>0</v>
      </c>
      <c r="L91" s="9"/>
      <c r="M91" s="10">
        <f>IF(OR(F91="",I91=""),"",NETWORKDAYS.INTL(F91,I91-1,1,休日!$A$4:$A$200)-1)</f>
        <v>0</v>
      </c>
      <c r="N91" s="10">
        <f>IF(OR(H91="",J91=""),"",NETWORKDAYS.INTL(H91,J91-1,1,休日!$A$4:$A$200)-1)</f>
        <v>0</v>
      </c>
      <c r="P91" s="9"/>
      <c r="Q91" s="10">
        <f>IF(C91="","",IF(E91="マイルストーン","MILESTONE",IF(K91&gt;=1,"完了",IF(I91&lt;&gt;"","進行中","未着手"))))</f>
        <v>0</v>
      </c>
    </row>
    <row r="92" spans="1:17">
      <c r="A92" s="9"/>
      <c r="B92" s="9"/>
      <c r="C92" s="9"/>
      <c r="D92" s="9"/>
      <c r="E92" s="9"/>
      <c r="H92" s="7">
        <f>IF(OR(F92="",G92=""),"",WORKDAY.INTL(F92,G92-1,1,休日!$A$4:$A$200))</f>
        <v>0</v>
      </c>
      <c r="L92" s="9"/>
      <c r="M92" s="10">
        <f>IF(OR(F92="",I92=""),"",NETWORKDAYS.INTL(F92,I92-1,1,休日!$A$4:$A$200)-1)</f>
        <v>0</v>
      </c>
      <c r="N92" s="10">
        <f>IF(OR(H92="",J92=""),"",NETWORKDAYS.INTL(H92,J92-1,1,休日!$A$4:$A$200)-1)</f>
        <v>0</v>
      </c>
      <c r="P92" s="9"/>
      <c r="Q92" s="10">
        <f>IF(C92="","",IF(E92="マイルストーン","MILESTONE",IF(K92&gt;=1,"完了",IF(I92&lt;&gt;"","進行中","未着手"))))</f>
        <v>0</v>
      </c>
    </row>
    <row r="93" spans="1:17">
      <c r="A93" s="9"/>
      <c r="B93" s="9"/>
      <c r="C93" s="9"/>
      <c r="D93" s="9"/>
      <c r="E93" s="9"/>
      <c r="H93" s="7">
        <f>IF(OR(F93="",G93=""),"",WORKDAY.INTL(F93,G93-1,1,休日!$A$4:$A$200))</f>
        <v>0</v>
      </c>
      <c r="L93" s="9"/>
      <c r="M93" s="10">
        <f>IF(OR(F93="",I93=""),"",NETWORKDAYS.INTL(F93,I93-1,1,休日!$A$4:$A$200)-1)</f>
        <v>0</v>
      </c>
      <c r="N93" s="10">
        <f>IF(OR(H93="",J93=""),"",NETWORKDAYS.INTL(H93,J93-1,1,休日!$A$4:$A$200)-1)</f>
        <v>0</v>
      </c>
      <c r="P93" s="9"/>
      <c r="Q93" s="10">
        <f>IF(C93="","",IF(E93="マイルストーン","MILESTONE",IF(K93&gt;=1,"完了",IF(I93&lt;&gt;"","進行中","未着手"))))</f>
        <v>0</v>
      </c>
    </row>
    <row r="94" spans="1:17">
      <c r="A94" s="9"/>
      <c r="B94" s="9"/>
      <c r="C94" s="9"/>
      <c r="D94" s="9"/>
      <c r="E94" s="9"/>
      <c r="H94" s="7">
        <f>IF(OR(F94="",G94=""),"",WORKDAY.INTL(F94,G94-1,1,休日!$A$4:$A$200))</f>
        <v>0</v>
      </c>
      <c r="L94" s="9"/>
      <c r="M94" s="10">
        <f>IF(OR(F94="",I94=""),"",NETWORKDAYS.INTL(F94,I94-1,1,休日!$A$4:$A$200)-1)</f>
        <v>0</v>
      </c>
      <c r="N94" s="10">
        <f>IF(OR(H94="",J94=""),"",NETWORKDAYS.INTL(H94,J94-1,1,休日!$A$4:$A$200)-1)</f>
        <v>0</v>
      </c>
      <c r="P94" s="9"/>
      <c r="Q94" s="10">
        <f>IF(C94="","",IF(E94="マイルストーン","MILESTONE",IF(K94&gt;=1,"完了",IF(I94&lt;&gt;"","進行中","未着手"))))</f>
        <v>0</v>
      </c>
    </row>
    <row r="95" spans="1:17">
      <c r="A95" s="9"/>
      <c r="B95" s="9"/>
      <c r="C95" s="9"/>
      <c r="D95" s="9"/>
      <c r="E95" s="9"/>
      <c r="H95" s="7">
        <f>IF(OR(F95="",G95=""),"",WORKDAY.INTL(F95,G95-1,1,休日!$A$4:$A$200))</f>
        <v>0</v>
      </c>
      <c r="L95" s="9"/>
      <c r="M95" s="10">
        <f>IF(OR(F95="",I95=""),"",NETWORKDAYS.INTL(F95,I95-1,1,休日!$A$4:$A$200)-1)</f>
        <v>0</v>
      </c>
      <c r="N95" s="10">
        <f>IF(OR(H95="",J95=""),"",NETWORKDAYS.INTL(H95,J95-1,1,休日!$A$4:$A$200)-1)</f>
        <v>0</v>
      </c>
      <c r="P95" s="9"/>
      <c r="Q95" s="10">
        <f>IF(C95="","",IF(E95="マイルストーン","MILESTONE",IF(K95&gt;=1,"完了",IF(I95&lt;&gt;"","進行中","未着手"))))</f>
        <v>0</v>
      </c>
    </row>
    <row r="96" spans="1:17">
      <c r="A96" s="9"/>
      <c r="B96" s="9"/>
      <c r="C96" s="9"/>
      <c r="D96" s="9"/>
      <c r="E96" s="9"/>
      <c r="H96" s="7">
        <f>IF(OR(F96="",G96=""),"",WORKDAY.INTL(F96,G96-1,1,休日!$A$4:$A$200))</f>
        <v>0</v>
      </c>
      <c r="L96" s="9"/>
      <c r="M96" s="10">
        <f>IF(OR(F96="",I96=""),"",NETWORKDAYS.INTL(F96,I96-1,1,休日!$A$4:$A$200)-1)</f>
        <v>0</v>
      </c>
      <c r="N96" s="10">
        <f>IF(OR(H96="",J96=""),"",NETWORKDAYS.INTL(H96,J96-1,1,休日!$A$4:$A$200)-1)</f>
        <v>0</v>
      </c>
      <c r="P96" s="9"/>
      <c r="Q96" s="10">
        <f>IF(C96="","",IF(E96="マイルストーン","MILESTONE",IF(K96&gt;=1,"完了",IF(I96&lt;&gt;"","進行中","未着手"))))</f>
        <v>0</v>
      </c>
    </row>
    <row r="97" spans="1:17">
      <c r="A97" s="9"/>
      <c r="B97" s="9"/>
      <c r="C97" s="9"/>
      <c r="D97" s="9"/>
      <c r="E97" s="9"/>
      <c r="H97" s="7">
        <f>IF(OR(F97="",G97=""),"",WORKDAY.INTL(F97,G97-1,1,休日!$A$4:$A$200))</f>
        <v>0</v>
      </c>
      <c r="L97" s="9"/>
      <c r="M97" s="10">
        <f>IF(OR(F97="",I97=""),"",NETWORKDAYS.INTL(F97,I97-1,1,休日!$A$4:$A$200)-1)</f>
        <v>0</v>
      </c>
      <c r="N97" s="10">
        <f>IF(OR(H97="",J97=""),"",NETWORKDAYS.INTL(H97,J97-1,1,休日!$A$4:$A$200)-1)</f>
        <v>0</v>
      </c>
      <c r="P97" s="9"/>
      <c r="Q97" s="10">
        <f>IF(C97="","",IF(E97="マイルストーン","MILESTONE",IF(K97&gt;=1,"完了",IF(I97&lt;&gt;"","進行中","未着手"))))</f>
        <v>0</v>
      </c>
    </row>
    <row r="98" spans="1:17">
      <c r="A98" s="9"/>
      <c r="B98" s="9"/>
      <c r="C98" s="9"/>
      <c r="D98" s="9"/>
      <c r="E98" s="9"/>
      <c r="H98" s="7">
        <f>IF(OR(F98="",G98=""),"",WORKDAY.INTL(F98,G98-1,1,休日!$A$4:$A$200))</f>
        <v>0</v>
      </c>
      <c r="L98" s="9"/>
      <c r="M98" s="10">
        <f>IF(OR(F98="",I98=""),"",NETWORKDAYS.INTL(F98,I98-1,1,休日!$A$4:$A$200)-1)</f>
        <v>0</v>
      </c>
      <c r="N98" s="10">
        <f>IF(OR(H98="",J98=""),"",NETWORKDAYS.INTL(H98,J98-1,1,休日!$A$4:$A$200)-1)</f>
        <v>0</v>
      </c>
      <c r="P98" s="9"/>
      <c r="Q98" s="10">
        <f>IF(C98="","",IF(E98="マイルストーン","MILESTONE",IF(K98&gt;=1,"完了",IF(I98&lt;&gt;"","進行中","未着手"))))</f>
        <v>0</v>
      </c>
    </row>
    <row r="99" spans="1:17">
      <c r="A99" s="9"/>
      <c r="B99" s="9"/>
      <c r="C99" s="9"/>
      <c r="D99" s="9"/>
      <c r="E99" s="9"/>
      <c r="H99" s="7">
        <f>IF(OR(F99="",G99=""),"",WORKDAY.INTL(F99,G99-1,1,休日!$A$4:$A$200))</f>
        <v>0</v>
      </c>
      <c r="L99" s="9"/>
      <c r="M99" s="10">
        <f>IF(OR(F99="",I99=""),"",NETWORKDAYS.INTL(F99,I99-1,1,休日!$A$4:$A$200)-1)</f>
        <v>0</v>
      </c>
      <c r="N99" s="10">
        <f>IF(OR(H99="",J99=""),"",NETWORKDAYS.INTL(H99,J99-1,1,休日!$A$4:$A$200)-1)</f>
        <v>0</v>
      </c>
      <c r="P99" s="9"/>
      <c r="Q99" s="10">
        <f>IF(C99="","",IF(E99="マイルストーン","MILESTONE",IF(K99&gt;=1,"完了",IF(I99&lt;&gt;"","進行中","未着手"))))</f>
        <v>0</v>
      </c>
    </row>
    <row r="100" spans="1:17">
      <c r="A100" s="9"/>
      <c r="B100" s="9"/>
      <c r="C100" s="9"/>
      <c r="D100" s="9"/>
      <c r="E100" s="9"/>
      <c r="H100" s="7">
        <f>IF(OR(F100="",G100=""),"",WORKDAY.INTL(F100,G100-1,1,休日!$A$4:$A$200))</f>
        <v>0</v>
      </c>
      <c r="L100" s="9"/>
      <c r="M100" s="10">
        <f>IF(OR(F100="",I100=""),"",NETWORKDAYS.INTL(F100,I100-1,1,休日!$A$4:$A$200)-1)</f>
        <v>0</v>
      </c>
      <c r="N100" s="10">
        <f>IF(OR(H100="",J100=""),"",NETWORKDAYS.INTL(H100,J100-1,1,休日!$A$4:$A$200)-1)</f>
        <v>0</v>
      </c>
      <c r="P100" s="9"/>
      <c r="Q100" s="10">
        <f>IF(C100="","",IF(E100="マイルストーン","MILESTONE",IF(K100&gt;=1,"完了",IF(I100&lt;&gt;"","進行中","未着手"))))</f>
        <v>0</v>
      </c>
    </row>
    <row r="101" spans="1:17">
      <c r="A101" s="9"/>
      <c r="B101" s="9"/>
      <c r="C101" s="9"/>
      <c r="D101" s="9"/>
      <c r="E101" s="9"/>
      <c r="H101" s="7">
        <f>IF(OR(F101="",G101=""),"",WORKDAY.INTL(F101,G101-1,1,休日!$A$4:$A$200))</f>
        <v>0</v>
      </c>
      <c r="L101" s="9"/>
      <c r="M101" s="10">
        <f>IF(OR(F101="",I101=""),"",NETWORKDAYS.INTL(F101,I101-1,1,休日!$A$4:$A$200)-1)</f>
        <v>0</v>
      </c>
      <c r="N101" s="10">
        <f>IF(OR(H101="",J101=""),"",NETWORKDAYS.INTL(H101,J101-1,1,休日!$A$4:$A$200)-1)</f>
        <v>0</v>
      </c>
      <c r="P101" s="9"/>
      <c r="Q101" s="10">
        <f>IF(C101="","",IF(E101="マイルストーン","MILESTONE",IF(K101&gt;=1,"完了",IF(I101&lt;&gt;"","進行中","未着手"))))</f>
        <v>0</v>
      </c>
    </row>
    <row r="102" spans="1:17">
      <c r="A102" s="9"/>
      <c r="B102" s="9"/>
      <c r="C102" s="9"/>
      <c r="D102" s="9"/>
      <c r="E102" s="9"/>
      <c r="H102" s="7">
        <f>IF(OR(F102="",G102=""),"",WORKDAY.INTL(F102,G102-1,1,休日!$A$4:$A$200))</f>
        <v>0</v>
      </c>
      <c r="L102" s="9"/>
      <c r="M102" s="10">
        <f>IF(OR(F102="",I102=""),"",NETWORKDAYS.INTL(F102,I102-1,1,休日!$A$4:$A$200)-1)</f>
        <v>0</v>
      </c>
      <c r="N102" s="10">
        <f>IF(OR(H102="",J102=""),"",NETWORKDAYS.INTL(H102,J102-1,1,休日!$A$4:$A$200)-1)</f>
        <v>0</v>
      </c>
      <c r="P102" s="9"/>
      <c r="Q102" s="10">
        <f>IF(C102="","",IF(E102="マイルストーン","MILESTONE",IF(K102&gt;=1,"完了",IF(I102&lt;&gt;"","進行中","未着手"))))</f>
        <v>0</v>
      </c>
    </row>
    <row r="103" spans="1:17">
      <c r="A103" s="9"/>
      <c r="B103" s="9"/>
      <c r="C103" s="9"/>
      <c r="D103" s="9"/>
      <c r="E103" s="9"/>
      <c r="H103" s="7">
        <f>IF(OR(F103="",G103=""),"",WORKDAY.INTL(F103,G103-1,1,休日!$A$4:$A$200))</f>
        <v>0</v>
      </c>
      <c r="L103" s="9"/>
      <c r="M103" s="10">
        <f>IF(OR(F103="",I103=""),"",NETWORKDAYS.INTL(F103,I103-1,1,休日!$A$4:$A$200)-1)</f>
        <v>0</v>
      </c>
      <c r="N103" s="10">
        <f>IF(OR(H103="",J103=""),"",NETWORKDAYS.INTL(H103,J103-1,1,休日!$A$4:$A$200)-1)</f>
        <v>0</v>
      </c>
      <c r="P103" s="9"/>
      <c r="Q103" s="10">
        <f>IF(C103="","",IF(E103="マイルストーン","MILESTONE",IF(K103&gt;=1,"完了",IF(I103&lt;&gt;"","進行中","未着手"))))</f>
        <v>0</v>
      </c>
    </row>
    <row r="104" spans="1:17">
      <c r="A104" s="9"/>
      <c r="B104" s="9"/>
      <c r="C104" s="9"/>
      <c r="D104" s="9"/>
      <c r="E104" s="9"/>
      <c r="H104" s="7">
        <f>IF(OR(F104="",G104=""),"",WORKDAY.INTL(F104,G104-1,1,休日!$A$4:$A$200))</f>
        <v>0</v>
      </c>
      <c r="L104" s="9"/>
      <c r="M104" s="10">
        <f>IF(OR(F104="",I104=""),"",NETWORKDAYS.INTL(F104,I104-1,1,休日!$A$4:$A$200)-1)</f>
        <v>0</v>
      </c>
      <c r="N104" s="10">
        <f>IF(OR(H104="",J104=""),"",NETWORKDAYS.INTL(H104,J104-1,1,休日!$A$4:$A$200)-1)</f>
        <v>0</v>
      </c>
      <c r="P104" s="9"/>
      <c r="Q104" s="10">
        <f>IF(C104="","",IF(E104="マイルストーン","MILESTONE",IF(K104&gt;=1,"完了",IF(I104&lt;&gt;"","進行中","未着手"))))</f>
        <v>0</v>
      </c>
    </row>
    <row r="105" spans="1:17">
      <c r="A105" s="9"/>
      <c r="B105" s="9"/>
      <c r="C105" s="9"/>
      <c r="D105" s="9"/>
      <c r="E105" s="9"/>
      <c r="H105" s="7">
        <f>IF(OR(F105="",G105=""),"",WORKDAY.INTL(F105,G105-1,1,休日!$A$4:$A$200))</f>
        <v>0</v>
      </c>
      <c r="L105" s="9"/>
      <c r="M105" s="10">
        <f>IF(OR(F105="",I105=""),"",NETWORKDAYS.INTL(F105,I105-1,1,休日!$A$4:$A$200)-1)</f>
        <v>0</v>
      </c>
      <c r="N105" s="10">
        <f>IF(OR(H105="",J105=""),"",NETWORKDAYS.INTL(H105,J105-1,1,休日!$A$4:$A$200)-1)</f>
        <v>0</v>
      </c>
      <c r="P105" s="9"/>
      <c r="Q105" s="10">
        <f>IF(C105="","",IF(E105="マイルストーン","MILESTONE",IF(K105&gt;=1,"完了",IF(I105&lt;&gt;"","進行中","未着手"))))</f>
        <v>0</v>
      </c>
    </row>
  </sheetData>
  <mergeCells count="2">
    <mergeCell ref="A1:Q1"/>
    <mergeCell ref="A2:Q2"/>
  </mergeCells>
  <conditionalFormatting sqref="R6:EG105">
    <cfRule type="expression" dxfId="0" priority="1">
      <formula>AND(R$5&gt;=$F6,R$5&lt;=$H6,$C6&lt;&gt;"")</formula>
    </cfRule>
    <cfRule type="expression" dxfId="1" priority="2">
      <formula>AND(R$5&gt;=$I6,R$5&lt;=IF($J6="",TODAY(),$J6),$I6&lt;&gt;"")</formula>
    </cfRule>
    <cfRule type="expression" dxfId="2" priority="3">
      <formula>AND(R$5=TODAY(),$C6&lt;&gt;"")</formula>
    </cfRule>
  </conditionalFormatting>
  <dataValidations count="2">
    <dataValidation type="list" allowBlank="1" showInputMessage="1" showErrorMessage="1" sqref="E6:E105">
      <formula1>"フェーズ,タスク,マイルストーン"</formula1>
    </dataValidation>
    <dataValidation type="decimal" allowBlank="1" showInputMessage="1" showErrorMessage="1" sqref="K6:K105">
      <formula1>0</formula1>
      <formula2>1</formula2>
    </dataValidation>
  </dataValidations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/>
  </sheetViews>
  <sheetFormatPr defaultRowHeight="15"/>
  <cols>
    <col min="1" max="1" width="18.7109375" customWidth="1"/>
    <col min="2" max="2" width="24.7109375" customWidth="1"/>
    <col min="4" max="4" width="85.7109375" customWidth="1"/>
  </cols>
  <sheetData>
    <row r="1" spans="1:4">
      <c r="A1" s="12" t="s">
        <v>0</v>
      </c>
    </row>
    <row r="3" spans="1:4">
      <c r="A3" s="4" t="s">
        <v>1</v>
      </c>
      <c r="B3" t="s">
        <v>6</v>
      </c>
      <c r="D3" s="4" t="s">
        <v>8</v>
      </c>
    </row>
    <row r="4" spans="1:4">
      <c r="A4" s="4" t="s">
        <v>2</v>
      </c>
      <c r="B4" s="13">
        <v>46296</v>
      </c>
      <c r="D4" t="s">
        <v>9</v>
      </c>
    </row>
    <row r="5" spans="1:4">
      <c r="A5" s="4" t="s">
        <v>3</v>
      </c>
      <c r="B5">
        <v>120</v>
      </c>
      <c r="D5" t="s">
        <v>10</v>
      </c>
    </row>
    <row r="6" spans="1:4">
      <c r="A6" s="4" t="s">
        <v>4</v>
      </c>
      <c r="B6" t="s">
        <v>7</v>
      </c>
      <c r="D6" t="s">
        <v>11</v>
      </c>
    </row>
    <row r="7" spans="1:4">
      <c r="A7" s="4" t="s">
        <v>5</v>
      </c>
      <c r="B7" s="13">
        <f>TODAY()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</cols>
  <sheetData>
    <row r="1" spans="1:2">
      <c r="A1" s="12" t="s">
        <v>12</v>
      </c>
    </row>
    <row r="3" spans="1:2">
      <c r="A3" s="14" t="s">
        <v>13</v>
      </c>
      <c r="B3" s="14" t="s">
        <v>14</v>
      </c>
    </row>
    <row r="4" spans="1:2">
      <c r="A4" s="15">
        <v>46307</v>
      </c>
      <c r="B4" s="10" t="s">
        <v>15</v>
      </c>
    </row>
    <row r="5" spans="1:2">
      <c r="A5" s="15">
        <v>46329</v>
      </c>
      <c r="B5" s="10" t="s">
        <v>16</v>
      </c>
    </row>
    <row r="6" spans="1:2">
      <c r="A6" s="15">
        <v>46349</v>
      </c>
      <c r="B6" s="10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showGridLines="0" workbookViewId="0"/>
  </sheetViews>
  <sheetFormatPr defaultRowHeight="15"/>
  <cols>
    <col min="1" max="1" width="28.7109375" customWidth="1"/>
    <col min="2" max="2" width="18.7109375" customWidth="1"/>
  </cols>
  <sheetData>
    <row r="1" spans="1:2">
      <c r="A1" s="12" t="s">
        <v>62</v>
      </c>
    </row>
    <row r="3" spans="1:2">
      <c r="A3" s="4" t="s">
        <v>63</v>
      </c>
      <c r="B3" s="16">
        <f>COUNTIF(WBS!$C$6:$C$105,"&lt;&gt;")</f>
        <v>0</v>
      </c>
    </row>
    <row r="4" spans="1:2">
      <c r="A4" s="4" t="s">
        <v>64</v>
      </c>
      <c r="B4" s="16">
        <f>COUNTIF(WBS!$Q$6:$Q$105,"完了")</f>
        <v>0</v>
      </c>
    </row>
    <row r="5" spans="1:2">
      <c r="A5" s="4" t="s">
        <v>65</v>
      </c>
      <c r="B5" s="16">
        <f>COUNTIF(WBS!$Q$6:$Q$105,"進行中")</f>
        <v>0</v>
      </c>
    </row>
    <row r="6" spans="1:2">
      <c r="A6" s="4" t="s">
        <v>66</v>
      </c>
      <c r="B6" s="17">
        <f>IFERROR(AVERAGE(WBS!$K$6:$K$105),0)</f>
        <v>0</v>
      </c>
    </row>
    <row r="7" spans="1:2">
      <c r="A7" s="4" t="s">
        <v>67</v>
      </c>
      <c r="B7" s="16">
        <f>COUNTIF(WBS!$N$6:$N$105,"&gt;0")</f>
        <v>0</v>
      </c>
    </row>
    <row r="8" spans="1:2">
      <c r="A8" s="4" t="s">
        <v>68</v>
      </c>
      <c r="B8" s="16">
        <f>SUM(WBS!$O$6:$O$105)</f>
        <v>0</v>
      </c>
    </row>
    <row r="11" spans="1:2">
      <c r="A11" s="4" t="s">
        <v>69</v>
      </c>
    </row>
    <row r="12" spans="1:2">
      <c r="A12" t="s">
        <v>70</v>
      </c>
      <c r="B12" s="18"/>
    </row>
    <row r="13" spans="1:2">
      <c r="A13" t="s">
        <v>71</v>
      </c>
      <c r="B13" s="19"/>
    </row>
    <row r="14" spans="1:2">
      <c r="A14" t="s">
        <v>72</v>
      </c>
      <c r="B14" s="20"/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WBS</vt:lpstr>
      <vt:lpstr>設定</vt:lpstr>
      <vt:lpstr>休日</vt:lpstr>
      <vt:lpstr>集計</vt:lpstr>
      <vt:lpstr>WBS!Print_Titles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開発マイルストーン WBS</dc:title>
  <dc:subject>ガントチャート・カミナリ戦・予定実績・休日・マイルストーン</dc:subject>
  <dc:creator/>
  <cp:lastModifiedBy/>
  <dcterms:created xsi:type="dcterms:W3CDTF">2026-09-21T23:45:27Z</dcterms:created>
  <dcterms:modified xsi:type="dcterms:W3CDTF">2026-09-21T23:45:27Z</dcterms:modified>
</cp:coreProperties>
</file>